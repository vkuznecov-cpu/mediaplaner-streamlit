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20001_{579A684B-121E-4A98-9794-C32ADB367433}" xr6:coauthVersionLast="47" xr6:coauthVersionMax="47" xr10:uidLastSave="{00000000-0000-0000-0000-000000000000}"/>
  <bookViews>
    <workbookView xWindow="-28050" yWindow="-16710" windowWidth="28005" windowHeight="15585" activeTab="1" xr2:uid="{00000000-000D-0000-FFFF-FFFF00000000}"/>
  </bookViews>
  <sheets>
    <sheet name="МП_Total" sheetId="3" r:id="rId1"/>
    <sheet name="МП_Periods" sheetId="4" r:id="rId2"/>
  </sheets>
  <calcPr calcId="181029"/>
  <fileRecoveryPr repairLoad="1"/>
  <extLst>
    <ext uri="GoogleSheetsCustomDataVersion2">
      <go:sheetsCustomData xmlns:go="http://customooxmlschemas.google.com/" r:id="rId15" roundtripDataChecksum="Vz3oXheFtCgPvDyBdCe3bvU6gbow63a+IldyQWs1kc4="/>
    </ext>
  </extLst>
</workbook>
</file>

<file path=xl/calcChain.xml><?xml version="1.0" encoding="utf-8"?>
<calcChain xmlns="http://schemas.openxmlformats.org/spreadsheetml/2006/main">
  <c r="I23" i="4" l="1"/>
  <c r="I22" i="4"/>
  <c r="I21" i="4"/>
  <c r="I20" i="4"/>
  <c r="I19" i="4"/>
  <c r="AA3" i="4"/>
  <c r="W3" i="4"/>
  <c r="I15" i="4"/>
  <c r="I14" i="4"/>
  <c r="I13" i="4"/>
  <c r="I12" i="4"/>
  <c r="I11" i="4"/>
  <c r="I3" i="4"/>
  <c r="I4" i="4"/>
  <c r="I5" i="4"/>
  <c r="I6" i="4"/>
  <c r="I7" i="4"/>
  <c r="K7" i="4" s="1"/>
  <c r="M7" i="4" s="1"/>
  <c r="AJ96" i="4"/>
  <c r="AI96" i="4"/>
  <c r="AF96" i="4"/>
  <c r="AE95" i="4"/>
  <c r="T95" i="4"/>
  <c r="AE94" i="4"/>
  <c r="T94" i="4"/>
  <c r="AE93" i="4"/>
  <c r="T93" i="4"/>
  <c r="AE92" i="4"/>
  <c r="T92" i="4"/>
  <c r="AE91" i="4"/>
  <c r="T91" i="4"/>
  <c r="AJ88" i="4"/>
  <c r="AI88" i="4" s="1"/>
  <c r="AF88" i="4"/>
  <c r="AE87" i="4"/>
  <c r="T87" i="4"/>
  <c r="AE86" i="4"/>
  <c r="T86" i="4"/>
  <c r="AE85" i="4"/>
  <c r="T85" i="4"/>
  <c r="AE84" i="4"/>
  <c r="T84" i="4"/>
  <c r="AE83" i="4"/>
  <c r="T83" i="4"/>
  <c r="AJ80" i="4"/>
  <c r="AI80" i="4" s="1"/>
  <c r="AF80" i="4"/>
  <c r="AE79" i="4"/>
  <c r="T79" i="4"/>
  <c r="AE78" i="4"/>
  <c r="T78" i="4"/>
  <c r="AE77" i="4"/>
  <c r="T77" i="4"/>
  <c r="AE76" i="4"/>
  <c r="T76" i="4"/>
  <c r="AE75" i="4"/>
  <c r="T75" i="4"/>
  <c r="AJ72" i="4"/>
  <c r="AI72" i="4" s="1"/>
  <c r="AF72" i="4"/>
  <c r="AE71" i="4"/>
  <c r="T71" i="4"/>
  <c r="AE70" i="4"/>
  <c r="T70" i="4"/>
  <c r="AE69" i="4"/>
  <c r="T69" i="4"/>
  <c r="AE68" i="4"/>
  <c r="T68" i="4"/>
  <c r="AE67" i="4"/>
  <c r="T67" i="4"/>
  <c r="AJ64" i="4"/>
  <c r="AI64" i="4"/>
  <c r="AF64" i="4"/>
  <c r="AE63" i="4"/>
  <c r="T63" i="4"/>
  <c r="AE62" i="4"/>
  <c r="T62" i="4"/>
  <c r="AE61" i="4"/>
  <c r="T61" i="4"/>
  <c r="AE60" i="4"/>
  <c r="T60" i="4"/>
  <c r="AE59" i="4"/>
  <c r="T59" i="4"/>
  <c r="AJ56" i="4"/>
  <c r="AI56" i="4" s="1"/>
  <c r="AF56" i="4"/>
  <c r="AE55" i="4"/>
  <c r="T55" i="4"/>
  <c r="AE54" i="4"/>
  <c r="T54" i="4"/>
  <c r="AE53" i="4"/>
  <c r="T53" i="4"/>
  <c r="AE52" i="4"/>
  <c r="T52" i="4"/>
  <c r="AE51" i="4"/>
  <c r="T51" i="4"/>
  <c r="AJ48" i="4"/>
  <c r="AI48" i="4" s="1"/>
  <c r="AF48" i="4"/>
  <c r="AE47" i="4"/>
  <c r="T47" i="4"/>
  <c r="AE46" i="4"/>
  <c r="T46" i="4"/>
  <c r="AE45" i="4"/>
  <c r="T45" i="4"/>
  <c r="AE44" i="4"/>
  <c r="T44" i="4"/>
  <c r="AE43" i="4"/>
  <c r="T43" i="4"/>
  <c r="AJ40" i="4"/>
  <c r="AI40" i="4" s="1"/>
  <c r="AF40" i="4"/>
  <c r="AE39" i="4"/>
  <c r="T39" i="4"/>
  <c r="AE38" i="4"/>
  <c r="T38" i="4"/>
  <c r="AE37" i="4"/>
  <c r="T37" i="4"/>
  <c r="AE36" i="4"/>
  <c r="T36" i="4"/>
  <c r="AE35" i="4"/>
  <c r="T35" i="4"/>
  <c r="AJ32" i="4"/>
  <c r="AI32" i="4" s="1"/>
  <c r="AF32" i="4"/>
  <c r="AE31" i="4"/>
  <c r="T31" i="4"/>
  <c r="AE30" i="4"/>
  <c r="T30" i="4"/>
  <c r="AE29" i="4"/>
  <c r="T29" i="4"/>
  <c r="AE28" i="4"/>
  <c r="T28" i="4"/>
  <c r="AE27" i="4"/>
  <c r="T27" i="4"/>
  <c r="AJ24" i="4"/>
  <c r="AI24" i="4"/>
  <c r="AF24" i="4"/>
  <c r="AE23" i="4"/>
  <c r="T23" i="4"/>
  <c r="W23" i="4"/>
  <c r="AA23" i="4" s="1"/>
  <c r="K23" i="4"/>
  <c r="M23" i="4" s="1"/>
  <c r="O23" i="4" s="1"/>
  <c r="P23" i="4" s="1"/>
  <c r="AE22" i="4"/>
  <c r="T22" i="4"/>
  <c r="W22" i="4"/>
  <c r="AA22" i="4" s="1"/>
  <c r="K22" i="4"/>
  <c r="M22" i="4" s="1"/>
  <c r="O22" i="4" s="1"/>
  <c r="P22" i="4" s="1"/>
  <c r="AE21" i="4"/>
  <c r="T21" i="4"/>
  <c r="W21" i="4"/>
  <c r="AA21" i="4" s="1"/>
  <c r="K21" i="4"/>
  <c r="M21" i="4" s="1"/>
  <c r="O21" i="4" s="1"/>
  <c r="P21" i="4" s="1"/>
  <c r="AE20" i="4"/>
  <c r="T20" i="4"/>
  <c r="W20" i="4"/>
  <c r="AA20" i="4" s="1"/>
  <c r="K20" i="4"/>
  <c r="M20" i="4" s="1"/>
  <c r="O20" i="4" s="1"/>
  <c r="P20" i="4" s="1"/>
  <c r="AE19" i="4"/>
  <c r="T19" i="4"/>
  <c r="S24" i="4"/>
  <c r="K19" i="4"/>
  <c r="M19" i="4" s="1"/>
  <c r="O19" i="4" s="1"/>
  <c r="AJ16" i="4"/>
  <c r="AI16" i="4" s="1"/>
  <c r="AF16" i="4"/>
  <c r="AE15" i="4"/>
  <c r="W15" i="4"/>
  <c r="AA15" i="4" s="1"/>
  <c r="T15" i="4"/>
  <c r="M15" i="4"/>
  <c r="O15" i="4" s="1"/>
  <c r="P15" i="4" s="1"/>
  <c r="K15" i="4"/>
  <c r="AE14" i="4"/>
  <c r="W14" i="4"/>
  <c r="AA14" i="4" s="1"/>
  <c r="T14" i="4"/>
  <c r="K14" i="4"/>
  <c r="M14" i="4" s="1"/>
  <c r="O14" i="4" s="1"/>
  <c r="P14" i="4" s="1"/>
  <c r="AE13" i="4"/>
  <c r="W13" i="4"/>
  <c r="AA13" i="4" s="1"/>
  <c r="T13" i="4"/>
  <c r="K13" i="4"/>
  <c r="M13" i="4" s="1"/>
  <c r="O13" i="4" s="1"/>
  <c r="P13" i="4" s="1"/>
  <c r="AE12" i="4"/>
  <c r="T12" i="4"/>
  <c r="W12" i="4"/>
  <c r="AA12" i="4" s="1"/>
  <c r="K12" i="4"/>
  <c r="M12" i="4" s="1"/>
  <c r="O12" i="4" s="1"/>
  <c r="P12" i="4" s="1"/>
  <c r="AE11" i="4"/>
  <c r="AA11" i="4" s="1"/>
  <c r="T11" i="4"/>
  <c r="S16" i="4"/>
  <c r="K11" i="4"/>
  <c r="M11" i="4" s="1"/>
  <c r="O11" i="4" s="1"/>
  <c r="AJ8" i="4"/>
  <c r="AI8" i="4" s="1"/>
  <c r="AF8" i="4"/>
  <c r="AE7" i="4"/>
  <c r="T7" i="4"/>
  <c r="W7" i="4"/>
  <c r="AE6" i="4"/>
  <c r="T6" i="4"/>
  <c r="W6" i="4"/>
  <c r="K6" i="4"/>
  <c r="M6" i="4" s="1"/>
  <c r="AE5" i="4"/>
  <c r="T5" i="4"/>
  <c r="W5" i="4"/>
  <c r="AA5" i="4" s="1"/>
  <c r="K5" i="4"/>
  <c r="M5" i="4" s="1"/>
  <c r="AE4" i="4"/>
  <c r="T4" i="4"/>
  <c r="W4" i="4"/>
  <c r="AA4" i="4" s="1"/>
  <c r="K4" i="4"/>
  <c r="M4" i="4" s="1"/>
  <c r="O4" i="4" s="1"/>
  <c r="T3" i="4"/>
  <c r="C10" i="3"/>
  <c r="BB8" i="3"/>
  <c r="BA8" i="3"/>
  <c r="AX8" i="3"/>
  <c r="BK7" i="3"/>
  <c r="BH7" i="3"/>
  <c r="BE7" i="3"/>
  <c r="BA7" i="3"/>
  <c r="AL7" i="3"/>
  <c r="AK7" i="3"/>
  <c r="AH7" i="3"/>
  <c r="BK6" i="3"/>
  <c r="BH6" i="3"/>
  <c r="BE6" i="3"/>
  <c r="BA6" i="3"/>
  <c r="AK6" i="3"/>
  <c r="AL6" i="3" s="1"/>
  <c r="AH6" i="3"/>
  <c r="BK5" i="3"/>
  <c r="BH5" i="3"/>
  <c r="BE5" i="3"/>
  <c r="BA5" i="3"/>
  <c r="AK5" i="3"/>
  <c r="AL5" i="3" s="1"/>
  <c r="AH5" i="3"/>
  <c r="BK4" i="3"/>
  <c r="BH4" i="3"/>
  <c r="BE4" i="3"/>
  <c r="BA4" i="3"/>
  <c r="AK4" i="3"/>
  <c r="AL4" i="3" s="1"/>
  <c r="AH4" i="3"/>
  <c r="BK3" i="3"/>
  <c r="BH3" i="3"/>
  <c r="BE3" i="3"/>
  <c r="BA3" i="3"/>
  <c r="AK3" i="3"/>
  <c r="AL3" i="3" s="1"/>
  <c r="AH3" i="3"/>
  <c r="AW6" i="3" l="1"/>
  <c r="AW7" i="3"/>
  <c r="AW5" i="3"/>
  <c r="AW4" i="3"/>
  <c r="AA7" i="4"/>
  <c r="AF20" i="4"/>
  <c r="AB20" i="4"/>
  <c r="X20" i="4"/>
  <c r="AH20" i="4"/>
  <c r="P4" i="4"/>
  <c r="O6" i="4"/>
  <c r="AB15" i="4"/>
  <c r="X15" i="4"/>
  <c r="AH15" i="4"/>
  <c r="AF15" i="4"/>
  <c r="AA6" i="4"/>
  <c r="AB14" i="4"/>
  <c r="X14" i="4"/>
  <c r="AH14" i="4"/>
  <c r="AF14" i="4"/>
  <c r="P19" i="4"/>
  <c r="O24" i="4"/>
  <c r="P24" i="4" s="1"/>
  <c r="AF21" i="4"/>
  <c r="AB21" i="4"/>
  <c r="X21" i="4"/>
  <c r="AH21" i="4"/>
  <c r="AF23" i="4"/>
  <c r="AB23" i="4"/>
  <c r="X23" i="4"/>
  <c r="AH23" i="4"/>
  <c r="P11" i="4"/>
  <c r="O16" i="4"/>
  <c r="P16" i="4" s="1"/>
  <c r="AB13" i="4"/>
  <c r="X13" i="4"/>
  <c r="AH13" i="4"/>
  <c r="AF13" i="4"/>
  <c r="BK8" i="3"/>
  <c r="AF22" i="4"/>
  <c r="AB22" i="4"/>
  <c r="X22" i="4"/>
  <c r="AH22" i="4"/>
  <c r="AB12" i="4"/>
  <c r="X12" i="4"/>
  <c r="AH12" i="4"/>
  <c r="AF12" i="4"/>
  <c r="BE8" i="3"/>
  <c r="BH8" i="3"/>
  <c r="O5" i="4"/>
  <c r="O7" i="4"/>
  <c r="W19" i="4"/>
  <c r="W11" i="4"/>
  <c r="W16" i="4" s="1"/>
  <c r="AF19" i="4" l="1"/>
  <c r="X19" i="4"/>
  <c r="AH19" i="4"/>
  <c r="V16" i="4"/>
  <c r="AD16" i="4"/>
  <c r="Z16" i="4"/>
  <c r="W24" i="4"/>
  <c r="X24" i="4" s="1"/>
  <c r="AA19" i="4"/>
  <c r="AB19" i="4" s="1"/>
  <c r="P6" i="4"/>
  <c r="P5" i="4"/>
  <c r="AH16" i="4"/>
  <c r="AB16" i="4"/>
  <c r="X16" i="4"/>
  <c r="AB11" i="4"/>
  <c r="X11" i="4"/>
  <c r="AH11" i="4"/>
  <c r="AF11" i="4"/>
  <c r="AB4" i="4"/>
  <c r="X4" i="4"/>
  <c r="AH4" i="4"/>
  <c r="AF4" i="4"/>
  <c r="P7" i="4"/>
  <c r="AH24" i="4"/>
  <c r="AB24" i="4"/>
  <c r="AB5" i="4" l="1"/>
  <c r="X5" i="4"/>
  <c r="AH5" i="4"/>
  <c r="AF5" i="4"/>
  <c r="AB6" i="4"/>
  <c r="X6" i="4"/>
  <c r="AH6" i="4"/>
  <c r="AF6" i="4"/>
  <c r="AB7" i="4"/>
  <c r="X7" i="4"/>
  <c r="AH7" i="4"/>
  <c r="AF7" i="4"/>
  <c r="Z24" i="4"/>
  <c r="V24" i="4"/>
  <c r="AD24" i="4"/>
  <c r="S8" i="4" l="1"/>
  <c r="AE3" i="4"/>
  <c r="AW3" i="3" s="1"/>
  <c r="W8" i="4" l="1"/>
  <c r="V8" i="4" s="1"/>
  <c r="K3" i="4"/>
  <c r="M3" i="4" l="1"/>
  <c r="AD8" i="4"/>
  <c r="Z8" i="4"/>
  <c r="O3" i="4" l="1"/>
  <c r="P3" i="4"/>
  <c r="O8" i="4"/>
  <c r="P8" i="4" s="1"/>
  <c r="Q20" i="4" l="1"/>
  <c r="Q13" i="4"/>
  <c r="AH8" i="4"/>
  <c r="Q12" i="4"/>
  <c r="X8" i="4"/>
  <c r="Q5" i="4"/>
  <c r="AB8" i="4"/>
  <c r="Q6" i="4"/>
  <c r="Q11" i="4"/>
  <c r="Q23" i="4"/>
  <c r="Q4" i="4"/>
  <c r="Q14" i="4"/>
  <c r="Q21" i="4"/>
  <c r="Q22" i="4"/>
  <c r="Q19" i="4"/>
  <c r="Q15" i="4"/>
  <c r="Q7" i="4"/>
  <c r="X3" i="4"/>
  <c r="Q3" i="4"/>
  <c r="AH3" i="4"/>
  <c r="AF3" i="4"/>
  <c r="AB3" i="4"/>
  <c r="W27" i="4"/>
  <c r="W32" i="4" s="1"/>
  <c r="W28" i="4"/>
  <c r="AA28" i="4" s="1"/>
  <c r="AA30" i="4"/>
  <c r="W31" i="4"/>
  <c r="W30" i="4"/>
  <c r="W29" i="4"/>
  <c r="AA29" i="4" s="1"/>
  <c r="K28" i="4"/>
  <c r="I27" i="4"/>
  <c r="K27" i="4" s="1"/>
  <c r="S32" i="4"/>
  <c r="I31" i="4"/>
  <c r="K31" i="4" s="1"/>
  <c r="I28" i="4"/>
  <c r="I30" i="4"/>
  <c r="K30" i="4" s="1"/>
  <c r="I29" i="4"/>
  <c r="M30" i="4" l="1"/>
  <c r="M31" i="4"/>
  <c r="M27" i="4"/>
  <c r="AD32" i="4"/>
  <c r="V32" i="4"/>
  <c r="Z32" i="4"/>
  <c r="M28" i="4"/>
  <c r="AA27" i="4"/>
  <c r="K29" i="4"/>
  <c r="AA31" i="4"/>
  <c r="O28" i="4" l="1"/>
  <c r="O27" i="4"/>
  <c r="O31" i="4"/>
  <c r="M29" i="4"/>
  <c r="O30" i="4"/>
  <c r="O29" i="4" l="1"/>
  <c r="O32" i="4"/>
  <c r="P32" i="4" s="1"/>
  <c r="P27" i="4"/>
  <c r="P30" i="4"/>
  <c r="P31" i="4"/>
  <c r="P28" i="4"/>
  <c r="X32" i="4" l="1"/>
  <c r="AB32" i="4"/>
  <c r="AH32" i="4"/>
  <c r="P29" i="4"/>
  <c r="Q30" i="4"/>
  <c r="AB30" i="4"/>
  <c r="AF30" i="4"/>
  <c r="AH30" i="4"/>
  <c r="X30" i="4"/>
  <c r="Q28" i="4"/>
  <c r="AH28" i="4"/>
  <c r="AB28" i="4"/>
  <c r="AF28" i="4"/>
  <c r="X28" i="4"/>
  <c r="AB27" i="4"/>
  <c r="AH27" i="4"/>
  <c r="AF27" i="4"/>
  <c r="Q27" i="4"/>
  <c r="X27" i="4"/>
  <c r="AB31" i="4"/>
  <c r="AH31" i="4"/>
  <c r="X31" i="4"/>
  <c r="AF31" i="4"/>
  <c r="Q31" i="4"/>
  <c r="Q29" i="4" l="1"/>
  <c r="AF29" i="4"/>
  <c r="AB29" i="4"/>
  <c r="AH29" i="4"/>
  <c r="X29" i="4"/>
  <c r="W36" i="4"/>
  <c r="AA36" i="4" s="1"/>
  <c r="W37" i="4"/>
  <c r="AA37" i="4" s="1"/>
  <c r="W39" i="4"/>
  <c r="AA39" i="4" s="1"/>
  <c r="AA38" i="4"/>
  <c r="W38" i="4"/>
  <c r="Z40" i="4"/>
  <c r="W35" i="4"/>
  <c r="W40" i="4"/>
  <c r="V40" i="4" s="1"/>
  <c r="K38" i="4"/>
  <c r="M38" i="4"/>
  <c r="O38" i="4" s="1"/>
  <c r="K36" i="4"/>
  <c r="M36" i="4" s="1"/>
  <c r="I39" i="4"/>
  <c r="K39" i="4" s="1"/>
  <c r="I37" i="4"/>
  <c r="K37" i="4" s="1"/>
  <c r="S40" i="4"/>
  <c r="I38" i="4"/>
  <c r="I36" i="4"/>
  <c r="I35" i="4"/>
  <c r="K35" i="4" s="1"/>
  <c r="P38" i="4" l="1"/>
  <c r="M37" i="4"/>
  <c r="O36" i="4"/>
  <c r="M35" i="4"/>
  <c r="M39" i="4"/>
  <c r="AD40" i="4"/>
  <c r="AA35" i="4"/>
  <c r="O37" i="4" l="1"/>
  <c r="P36" i="4"/>
  <c r="O35" i="4"/>
  <c r="X38" i="4"/>
  <c r="Q38" i="4"/>
  <c r="AB38" i="4"/>
  <c r="AF38" i="4"/>
  <c r="AH38" i="4"/>
  <c r="O39" i="4"/>
  <c r="P39" i="4" l="1"/>
  <c r="Q36" i="4"/>
  <c r="AB36" i="4"/>
  <c r="AF36" i="4"/>
  <c r="AH36" i="4"/>
  <c r="X36" i="4"/>
  <c r="P37" i="4"/>
  <c r="O40" i="4"/>
  <c r="P40" i="4" s="1"/>
  <c r="P35" i="4"/>
  <c r="Q35" i="4" l="1"/>
  <c r="AF35" i="4"/>
  <c r="AB35" i="4"/>
  <c r="AH35" i="4"/>
  <c r="X35" i="4"/>
  <c r="X40" i="4"/>
  <c r="AH40" i="4"/>
  <c r="AB40" i="4"/>
  <c r="AF37" i="4"/>
  <c r="AB37" i="4"/>
  <c r="AH37" i="4"/>
  <c r="X37" i="4"/>
  <c r="Q37" i="4"/>
  <c r="AH39" i="4"/>
  <c r="Q39" i="4"/>
  <c r="X39" i="4"/>
  <c r="AF39" i="4"/>
  <c r="AB39" i="4"/>
  <c r="AA44" i="4"/>
  <c r="W44" i="4"/>
  <c r="AA43" i="4"/>
  <c r="W45" i="4"/>
  <c r="AA45" i="4"/>
  <c r="W47" i="4"/>
  <c r="AA47" i="4"/>
  <c r="AA46" i="4"/>
  <c r="W46" i="4"/>
  <c r="AD48" i="4"/>
  <c r="W43" i="4"/>
  <c r="W48" i="4"/>
  <c r="V48" i="4" s="1"/>
  <c r="K46" i="4"/>
  <c r="M46" i="4"/>
  <c r="O46" i="4" s="1"/>
  <c r="K44" i="4"/>
  <c r="M44" i="4" s="1"/>
  <c r="S48" i="4"/>
  <c r="I46" i="4"/>
  <c r="I44" i="4"/>
  <c r="I43" i="4"/>
  <c r="I45" i="4"/>
  <c r="K45" i="4" s="1"/>
  <c r="I47" i="4"/>
  <c r="K47" i="4" s="1"/>
  <c r="M45" i="4" l="1"/>
  <c r="O44" i="4"/>
  <c r="M47" i="4"/>
  <c r="P46" i="4"/>
  <c r="K43" i="4"/>
  <c r="Z48" i="4"/>
  <c r="P44" i="4" l="1"/>
  <c r="M43" i="4"/>
  <c r="AB46" i="4"/>
  <c r="Q46" i="4"/>
  <c r="AF46" i="4"/>
  <c r="X46" i="4"/>
  <c r="AH46" i="4"/>
  <c r="O47" i="4"/>
  <c r="O45" i="4"/>
  <c r="O43" i="4" l="1"/>
  <c r="P47" i="4"/>
  <c r="P45" i="4"/>
  <c r="AB44" i="4"/>
  <c r="AH44" i="4"/>
  <c r="X44" i="4"/>
  <c r="Q44" i="4"/>
  <c r="AF44" i="4"/>
  <c r="AB45" i="4" l="1"/>
  <c r="X45" i="4"/>
  <c r="Q45" i="4"/>
  <c r="AF45" i="4"/>
  <c r="AH45" i="4"/>
  <c r="AH47" i="4"/>
  <c r="AB47" i="4"/>
  <c r="Q47" i="4"/>
  <c r="AF47" i="4"/>
  <c r="X47" i="4"/>
  <c r="O48" i="4"/>
  <c r="P48" i="4" s="1"/>
  <c r="P43" i="4"/>
  <c r="AH48" i="4" l="1"/>
  <c r="AB48" i="4"/>
  <c r="X48" i="4"/>
  <c r="AF43" i="4"/>
  <c r="AH43" i="4"/>
  <c r="X43" i="4"/>
  <c r="Q43" i="4"/>
  <c r="AB43" i="4"/>
  <c r="W53" i="4"/>
  <c r="AA53" i="4" s="1"/>
  <c r="W54" i="4"/>
  <c r="AA54" i="4" s="1"/>
  <c r="W55" i="4"/>
  <c r="W52" i="4"/>
  <c r="AA52" i="4" s="1"/>
  <c r="W51" i="4"/>
  <c r="AA51" i="4" s="1"/>
  <c r="K52" i="4"/>
  <c r="I52" i="4"/>
  <c r="I54" i="4"/>
  <c r="K54" i="4" s="1"/>
  <c r="S56" i="4"/>
  <c r="I51" i="4"/>
  <c r="K51" i="4" s="1"/>
  <c r="I53" i="4"/>
  <c r="K53" i="4" s="1"/>
  <c r="I55" i="4"/>
  <c r="K55" i="4" s="1"/>
  <c r="M53" i="4" l="1"/>
  <c r="M51" i="4"/>
  <c r="M54" i="4"/>
  <c r="M55" i="4"/>
  <c r="W56" i="4"/>
  <c r="AA55" i="4"/>
  <c r="M52" i="4"/>
  <c r="O55" i="4" l="1"/>
  <c r="O51" i="4"/>
  <c r="O52" i="4"/>
  <c r="V56" i="4"/>
  <c r="AD56" i="4"/>
  <c r="Z56" i="4"/>
  <c r="O54" i="4"/>
  <c r="O53" i="4"/>
  <c r="P54" i="4" l="1"/>
  <c r="P55" i="4"/>
  <c r="P53" i="4"/>
  <c r="P52" i="4"/>
  <c r="O56" i="4"/>
  <c r="P56" i="4" s="1"/>
  <c r="P51" i="4"/>
  <c r="AB55" i="4" l="1"/>
  <c r="Q55" i="4"/>
  <c r="AH55" i="4"/>
  <c r="AF55" i="4"/>
  <c r="X55" i="4"/>
  <c r="AF51" i="4"/>
  <c r="AH51" i="4"/>
  <c r="Q51" i="4"/>
  <c r="X51" i="4"/>
  <c r="AB51" i="4"/>
  <c r="AH56" i="4"/>
  <c r="AB56" i="4"/>
  <c r="X56" i="4"/>
  <c r="Q54" i="4"/>
  <c r="AF54" i="4"/>
  <c r="AH54" i="4"/>
  <c r="X54" i="4"/>
  <c r="AB54" i="4"/>
  <c r="AB52" i="4"/>
  <c r="X52" i="4"/>
  <c r="Q52" i="4"/>
  <c r="AH52" i="4"/>
  <c r="AF52" i="4"/>
  <c r="Q53" i="4"/>
  <c r="AB53" i="4"/>
  <c r="X53" i="4"/>
  <c r="AH53" i="4"/>
  <c r="AF53" i="4"/>
  <c r="AA61" i="4"/>
  <c r="W61" i="4"/>
  <c r="AA63" i="4"/>
  <c r="W62" i="4"/>
  <c r="AA62" i="4"/>
  <c r="W60" i="4"/>
  <c r="W63" i="4"/>
  <c r="W59" i="4"/>
  <c r="W64" i="4"/>
  <c r="V64" i="4" s="1"/>
  <c r="Q62" i="4"/>
  <c r="AB62" i="4"/>
  <c r="K62" i="4"/>
  <c r="M62" i="4"/>
  <c r="O62" i="4"/>
  <c r="P62" i="4"/>
  <c r="AF62" i="4" s="1"/>
  <c r="AH62" i="4"/>
  <c r="K63" i="4"/>
  <c r="M63" i="4"/>
  <c r="O63" i="4"/>
  <c r="P63" i="4"/>
  <c r="Q63" i="4" s="1"/>
  <c r="S64" i="4"/>
  <c r="I62" i="4"/>
  <c r="I63" i="4"/>
  <c r="I59" i="4"/>
  <c r="K59" i="4" s="1"/>
  <c r="I60" i="4"/>
  <c r="I61" i="4"/>
  <c r="K61" i="4"/>
  <c r="M61" i="4"/>
  <c r="O61" i="4"/>
  <c r="P61" i="4" s="1"/>
  <c r="M59" i="4" l="1"/>
  <c r="X61" i="4"/>
  <c r="AB61" i="4"/>
  <c r="Q61" i="4"/>
  <c r="AF61" i="4"/>
  <c r="AH61" i="4"/>
  <c r="X63" i="4"/>
  <c r="AA59" i="4"/>
  <c r="AF63" i="4"/>
  <c r="X62" i="4"/>
  <c r="AA60" i="4"/>
  <c r="AD64" i="4"/>
  <c r="Z64" i="4"/>
  <c r="K60" i="4"/>
  <c r="AB63" i="4"/>
  <c r="AH63" i="4"/>
  <c r="M60" i="4" l="1"/>
  <c r="O59" i="4"/>
  <c r="P59" i="4" l="1"/>
  <c r="O60" i="4"/>
  <c r="P60" i="4" l="1"/>
  <c r="Q59" i="4"/>
  <c r="AH59" i="4"/>
  <c r="AB59" i="4"/>
  <c r="X59" i="4"/>
  <c r="AF59" i="4"/>
  <c r="O64" i="4"/>
  <c r="P64" i="4" s="1"/>
  <c r="AB64" i="4" l="1"/>
  <c r="AH64" i="4"/>
  <c r="X64" i="4"/>
  <c r="AB60" i="4"/>
  <c r="AF60" i="4"/>
  <c r="AH60" i="4"/>
  <c r="X60" i="4"/>
  <c r="Q60" i="4"/>
  <c r="AA68" i="4"/>
  <c r="W68" i="4"/>
  <c r="W70" i="4"/>
  <c r="AA70" i="4"/>
  <c r="W69" i="4"/>
  <c r="AA69" i="4"/>
  <c r="W71" i="4"/>
  <c r="AA71" i="4" s="1"/>
  <c r="W67" i="4"/>
  <c r="AA67" i="4" s="1"/>
  <c r="K70" i="4"/>
  <c r="M70" i="4" s="1"/>
  <c r="I69" i="4"/>
  <c r="K69" i="4" s="1"/>
  <c r="I71" i="4"/>
  <c r="K71" i="4" s="1"/>
  <c r="S72" i="4"/>
  <c r="I68" i="4"/>
  <c r="K68" i="4" s="1"/>
  <c r="I67" i="4"/>
  <c r="I70" i="4"/>
  <c r="M69" i="4" l="1"/>
  <c r="O70" i="4"/>
  <c r="M68" i="4"/>
  <c r="M71" i="4"/>
  <c r="K67" i="4"/>
  <c r="W72" i="4"/>
  <c r="P70" i="4" l="1"/>
  <c r="AD72" i="4"/>
  <c r="Z72" i="4"/>
  <c r="V72" i="4"/>
  <c r="O68" i="4"/>
  <c r="O71" i="4"/>
  <c r="O69" i="4"/>
  <c r="M67" i="4"/>
  <c r="O67" i="4" l="1"/>
  <c r="P68" i="4"/>
  <c r="P69" i="4"/>
  <c r="AB70" i="4"/>
  <c r="X70" i="4"/>
  <c r="AF70" i="4"/>
  <c r="AH70" i="4"/>
  <c r="Q70" i="4"/>
  <c r="P71" i="4"/>
  <c r="AH68" i="4" l="1"/>
  <c r="AB68" i="4"/>
  <c r="AF68" i="4"/>
  <c r="Q68" i="4"/>
  <c r="X68" i="4"/>
  <c r="O72" i="4"/>
  <c r="P72" i="4" s="1"/>
  <c r="P67" i="4"/>
  <c r="AH71" i="4"/>
  <c r="AB71" i="4"/>
  <c r="AF71" i="4"/>
  <c r="X71" i="4"/>
  <c r="Q71" i="4"/>
  <c r="AB69" i="4"/>
  <c r="X69" i="4"/>
  <c r="AF69" i="4"/>
  <c r="Q69" i="4"/>
  <c r="AH69" i="4"/>
  <c r="AB72" i="4" l="1"/>
  <c r="X72" i="4"/>
  <c r="AH72" i="4"/>
  <c r="AB67" i="4"/>
  <c r="AF67" i="4"/>
  <c r="AH67" i="4"/>
  <c r="Q67" i="4"/>
  <c r="X67" i="4"/>
  <c r="W79" i="4"/>
  <c r="AA79" i="4" s="1"/>
  <c r="W77" i="4"/>
  <c r="AA77" i="4" s="1"/>
  <c r="W76" i="4"/>
  <c r="AA76" i="4" s="1"/>
  <c r="W78" i="4"/>
  <c r="AA78" i="4" s="1"/>
  <c r="W75" i="4"/>
  <c r="AA75" i="4" s="1"/>
  <c r="K75" i="4"/>
  <c r="M75" i="4" s="1"/>
  <c r="I75" i="4"/>
  <c r="S80" i="4"/>
  <c r="I77" i="4"/>
  <c r="K77" i="4" s="1"/>
  <c r="K79" i="4"/>
  <c r="I79" i="4"/>
  <c r="I76" i="4"/>
  <c r="I78" i="4"/>
  <c r="K78" i="4" s="1"/>
  <c r="M77" i="4" l="1"/>
  <c r="M78" i="4"/>
  <c r="O75" i="4"/>
  <c r="W80" i="4"/>
  <c r="M79" i="4"/>
  <c r="K76" i="4"/>
  <c r="O78" i="4" l="1"/>
  <c r="M76" i="4"/>
  <c r="Z80" i="4"/>
  <c r="AD80" i="4"/>
  <c r="V80" i="4"/>
  <c r="O77" i="4"/>
  <c r="O79" i="4"/>
  <c r="P75" i="4"/>
  <c r="O76" i="4" l="1"/>
  <c r="P79" i="4"/>
  <c r="P77" i="4"/>
  <c r="AH75" i="4"/>
  <c r="Q75" i="4"/>
  <c r="AB75" i="4"/>
  <c r="X75" i="4"/>
  <c r="AF75" i="4"/>
  <c r="P78" i="4"/>
  <c r="AB77" i="4" l="1"/>
  <c r="AH77" i="4"/>
  <c r="X77" i="4"/>
  <c r="Q77" i="4"/>
  <c r="AF77" i="4"/>
  <c r="AF78" i="4"/>
  <c r="X78" i="4"/>
  <c r="AH78" i="4"/>
  <c r="Q78" i="4"/>
  <c r="AB78" i="4"/>
  <c r="X79" i="4"/>
  <c r="AF79" i="4"/>
  <c r="AH79" i="4"/>
  <c r="AB79" i="4"/>
  <c r="Q79" i="4"/>
  <c r="P76" i="4"/>
  <c r="O80" i="4"/>
  <c r="P80" i="4" s="1"/>
  <c r="X80" i="4" l="1"/>
  <c r="AB80" i="4"/>
  <c r="AH80" i="4"/>
  <c r="AB76" i="4"/>
  <c r="AF76" i="4"/>
  <c r="X76" i="4"/>
  <c r="AH76" i="4"/>
  <c r="Q76" i="4"/>
  <c r="W87" i="4"/>
  <c r="AA87" i="4" s="1"/>
  <c r="W84" i="4"/>
  <c r="W85" i="4"/>
  <c r="AA85" i="4" s="1"/>
  <c r="W86" i="4"/>
  <c r="AA86" i="4"/>
  <c r="K85" i="4"/>
  <c r="M85" i="4"/>
  <c r="W83" i="4"/>
  <c r="AA83" i="4" s="1"/>
  <c r="S88" i="4"/>
  <c r="I85" i="4"/>
  <c r="K87" i="4"/>
  <c r="M87" i="4"/>
  <c r="O87" i="4" s="1"/>
  <c r="I83" i="4"/>
  <c r="I87" i="4"/>
  <c r="I84" i="4"/>
  <c r="I86" i="4"/>
  <c r="K86" i="4" s="1"/>
  <c r="M86" i="4" l="1"/>
  <c r="P87" i="4"/>
  <c r="K84" i="4"/>
  <c r="W88" i="4"/>
  <c r="O85" i="4"/>
  <c r="AA84" i="4"/>
  <c r="K83" i="4"/>
  <c r="Z88" i="4" l="1"/>
  <c r="AD88" i="4"/>
  <c r="V88" i="4"/>
  <c r="AF87" i="4"/>
  <c r="AB87" i="4"/>
  <c r="AH87" i="4"/>
  <c r="Q87" i="4"/>
  <c r="X87" i="4"/>
  <c r="O86" i="4"/>
  <c r="P85" i="4"/>
  <c r="M84" i="4"/>
  <c r="M83" i="4"/>
  <c r="Q85" i="4" l="1"/>
  <c r="AF85" i="4"/>
  <c r="X85" i="4"/>
  <c r="AH85" i="4"/>
  <c r="AB85" i="4"/>
  <c r="P86" i="4"/>
  <c r="O83" i="4"/>
  <c r="O84" i="4"/>
  <c r="P84" i="4" l="1"/>
  <c r="P83" i="4"/>
  <c r="O88" i="4"/>
  <c r="P88" i="4" s="1"/>
  <c r="Q86" i="4"/>
  <c r="AF86" i="4"/>
  <c r="X86" i="4"/>
  <c r="AB86" i="4"/>
  <c r="AH86" i="4"/>
  <c r="AB83" i="4" l="1"/>
  <c r="Q83" i="4"/>
  <c r="AF83" i="4"/>
  <c r="AH83" i="4"/>
  <c r="X83" i="4"/>
  <c r="AB88" i="4"/>
  <c r="AH88" i="4"/>
  <c r="X88" i="4"/>
  <c r="AH84" i="4"/>
  <c r="Q84" i="4"/>
  <c r="X84" i="4"/>
  <c r="AB84" i="4"/>
  <c r="AF84" i="4"/>
  <c r="AA94" i="4"/>
  <c r="AS6" i="3" s="1"/>
  <c r="AR6" i="3" s="1"/>
  <c r="W95" i="4"/>
  <c r="AA95" i="4" s="1"/>
  <c r="AS7" i="3" s="1"/>
  <c r="BJ6" i="3"/>
  <c r="AF6" i="3"/>
  <c r="BG6" i="3" s="1"/>
  <c r="V5" i="3"/>
  <c r="AF5" i="3"/>
  <c r="BD5" i="3" s="1"/>
  <c r="BG3" i="3"/>
  <c r="BD3" i="3"/>
  <c r="AF3" i="3"/>
  <c r="AF8" i="3" s="1"/>
  <c r="W92" i="4"/>
  <c r="AO4" i="3" s="1"/>
  <c r="AA92" i="4"/>
  <c r="AS4" i="3"/>
  <c r="AA93" i="4"/>
  <c r="AS5" i="3" s="1"/>
  <c r="AR5" i="3" s="1"/>
  <c r="BJ4" i="3"/>
  <c r="BG4" i="3"/>
  <c r="AF4" i="3"/>
  <c r="AG4" i="3" s="1"/>
  <c r="W94" i="4"/>
  <c r="AO6" i="3"/>
  <c r="AN6" i="3" s="1"/>
  <c r="AG7" i="3"/>
  <c r="BD7" i="3"/>
  <c r="AF7" i="3"/>
  <c r="BJ7" i="3" s="1"/>
  <c r="BG7" i="3"/>
  <c r="S96" i="4"/>
  <c r="W93" i="4"/>
  <c r="AO5" i="3"/>
  <c r="AV5" i="3" s="1"/>
  <c r="W91" i="4"/>
  <c r="AO3" i="3" s="1"/>
  <c r="I95" i="4"/>
  <c r="V7" i="3" s="1"/>
  <c r="I93" i="4"/>
  <c r="K93" i="4"/>
  <c r="X5" i="3" s="1"/>
  <c r="U5" i="3" s="1"/>
  <c r="I94" i="4"/>
  <c r="K94" i="4" s="1"/>
  <c r="I92" i="4"/>
  <c r="K92" i="4" s="1"/>
  <c r="I91" i="4"/>
  <c r="V3" i="3" s="1"/>
  <c r="K91" i="4"/>
  <c r="X3" i="3" s="1"/>
  <c r="U3" i="3" s="1"/>
  <c r="AR4" i="3" l="1"/>
  <c r="AN4" i="3"/>
  <c r="AV4" i="3"/>
  <c r="BJ8" i="3"/>
  <c r="BG8" i="3"/>
  <c r="BD8" i="3"/>
  <c r="M92" i="4"/>
  <c r="X4" i="3"/>
  <c r="U4" i="3" s="1"/>
  <c r="AV3" i="3"/>
  <c r="AN3" i="3"/>
  <c r="X6" i="3"/>
  <c r="U6" i="3" s="1"/>
  <c r="M94" i="4"/>
  <c r="AV6" i="3"/>
  <c r="BJ5" i="3"/>
  <c r="V6" i="3"/>
  <c r="AG5" i="3"/>
  <c r="V4" i="3"/>
  <c r="M91" i="4"/>
  <c r="M93" i="4"/>
  <c r="K95" i="4"/>
  <c r="BD4" i="3"/>
  <c r="AG3" i="3"/>
  <c r="BG5" i="3"/>
  <c r="BD6" i="3"/>
  <c r="BJ3" i="3"/>
  <c r="W96" i="4"/>
  <c r="AG6" i="3"/>
  <c r="AN5" i="3"/>
  <c r="AA91" i="4"/>
  <c r="AS3" i="3" s="1"/>
  <c r="AR3" i="3" s="1"/>
  <c r="AO7" i="3"/>
  <c r="AN7" i="3" l="1"/>
  <c r="AV7" i="3"/>
  <c r="O92" i="4"/>
  <c r="Z4" i="3"/>
  <c r="Y4" i="3" s="1"/>
  <c r="X7" i="3"/>
  <c r="U7" i="3" s="1"/>
  <c r="M95" i="4"/>
  <c r="O94" i="4"/>
  <c r="Z6" i="3"/>
  <c r="Y6" i="3" s="1"/>
  <c r="Z5" i="3"/>
  <c r="Y5" i="3" s="1"/>
  <c r="O93" i="4"/>
  <c r="AD96" i="4"/>
  <c r="V96" i="4"/>
  <c r="Z96" i="4"/>
  <c r="AO8" i="3"/>
  <c r="Z3" i="3"/>
  <c r="Y3" i="3" s="1"/>
  <c r="O91" i="4"/>
  <c r="AR7" i="3"/>
  <c r="P91" i="4" l="1"/>
  <c r="AB3" i="3"/>
  <c r="AV8" i="3"/>
  <c r="AR8" i="3"/>
  <c r="AN8" i="3"/>
  <c r="P94" i="4"/>
  <c r="AB6" i="3"/>
  <c r="AA6" i="3" s="1"/>
  <c r="Z7" i="3"/>
  <c r="Y7" i="3" s="1"/>
  <c r="O95" i="4"/>
  <c r="AB4" i="3"/>
  <c r="AA4" i="3" s="1"/>
  <c r="P92" i="4"/>
  <c r="AB5" i="3"/>
  <c r="AA5" i="3" s="1"/>
  <c r="P93" i="4"/>
  <c r="AF94" i="4" l="1"/>
  <c r="AB94" i="4"/>
  <c r="X94" i="4"/>
  <c r="AC6" i="3"/>
  <c r="Q94" i="4"/>
  <c r="AH94" i="4"/>
  <c r="AH93" i="4"/>
  <c r="Q93" i="4"/>
  <c r="AC5" i="3"/>
  <c r="AF93" i="4"/>
  <c r="AB93" i="4"/>
  <c r="X93" i="4"/>
  <c r="AB7" i="3"/>
  <c r="AA7" i="3" s="1"/>
  <c r="P95" i="4"/>
  <c r="AC3" i="3"/>
  <c r="AB91" i="4"/>
  <c r="Q91" i="4"/>
  <c r="X91" i="4"/>
  <c r="AH91" i="4"/>
  <c r="AF91" i="4"/>
  <c r="AF92" i="4"/>
  <c r="AC4" i="3"/>
  <c r="Q92" i="4"/>
  <c r="AB92" i="4"/>
  <c r="X92" i="4"/>
  <c r="AH92" i="4"/>
  <c r="AA3" i="3"/>
  <c r="O96" i="4"/>
  <c r="P96" i="4" s="1"/>
  <c r="AZ6" i="3" l="1"/>
  <c r="AP6" i="3"/>
  <c r="BF6" i="3"/>
  <c r="AI6" i="3"/>
  <c r="BL6" i="3"/>
  <c r="AJ6" i="3"/>
  <c r="AT6" i="3"/>
  <c r="AX6" i="3"/>
  <c r="BL3" i="3"/>
  <c r="AX3" i="3"/>
  <c r="AI3" i="3"/>
  <c r="AZ3" i="3"/>
  <c r="BF3" i="3"/>
  <c r="AP3" i="3"/>
  <c r="AJ3" i="3"/>
  <c r="AT3" i="3"/>
  <c r="AB96" i="4"/>
  <c r="X96" i="4"/>
  <c r="AH96" i="4"/>
  <c r="AB8" i="3"/>
  <c r="AJ4" i="3"/>
  <c r="AZ4" i="3"/>
  <c r="AI4" i="3"/>
  <c r="AP4" i="3"/>
  <c r="BF4" i="3"/>
  <c r="AT4" i="3"/>
  <c r="AX4" i="3"/>
  <c r="BL4" i="3"/>
  <c r="Q95" i="4"/>
  <c r="AC7" i="3"/>
  <c r="AH95" i="4"/>
  <c r="X95" i="4"/>
  <c r="AF95" i="4"/>
  <c r="AB95" i="4"/>
  <c r="AX5" i="3"/>
  <c r="BF5" i="3"/>
  <c r="AP5" i="3"/>
  <c r="AT5" i="3"/>
  <c r="BL5" i="3"/>
  <c r="AJ5" i="3"/>
  <c r="AZ5" i="3"/>
  <c r="AI5" i="3"/>
  <c r="C11" i="3" l="1"/>
  <c r="C12" i="3" s="1"/>
  <c r="AC8" i="3"/>
  <c r="BF7" i="3"/>
  <c r="AX7" i="3"/>
  <c r="AJ7" i="3"/>
  <c r="AP7" i="3"/>
  <c r="AT7" i="3"/>
  <c r="AD7" i="3"/>
  <c r="BL7" i="3"/>
  <c r="AZ7" i="3"/>
  <c r="AI7" i="3"/>
  <c r="AP8" i="3" l="1"/>
  <c r="AT8" i="3"/>
  <c r="BL8" i="3"/>
  <c r="AI8" i="3"/>
  <c r="AJ8" i="3"/>
  <c r="AZ8" i="3"/>
  <c r="C13" i="3"/>
  <c r="C14" i="3" s="1"/>
  <c r="C17" i="3" s="1"/>
  <c r="BF8" i="3"/>
  <c r="AD5" i="3"/>
  <c r="AD3" i="3"/>
  <c r="AD4" i="3"/>
  <c r="AD6" i="3"/>
</calcChain>
</file>

<file path=xl/sharedStrings.xml><?xml version="1.0" encoding="utf-8"?>
<sst xmlns="http://schemas.openxmlformats.org/spreadsheetml/2006/main" count="870" uniqueCount="85">
  <si>
    <t>Рекламная система</t>
  </si>
  <si>
    <t>Рекламный формат, размер,
вид размещения</t>
  </si>
  <si>
    <t>Таргетинги</t>
  </si>
  <si>
    <t>Период</t>
  </si>
  <si>
    <t>Модель закупки</t>
  </si>
  <si>
    <t>Стоимость единицы закупки
(без НДС)</t>
  </si>
  <si>
    <t>Кол-во
единиц закупки</t>
  </si>
  <si>
    <t>Стоимость
(без НДС)</t>
  </si>
  <si>
    <t>СК, %</t>
  </si>
  <si>
    <t>Стоимость с учетом СК
(без НДС)</t>
  </si>
  <si>
    <t>АК, %</t>
  </si>
  <si>
    <t>Итоговая стоимость
(без НДС)</t>
  </si>
  <si>
    <t>Итоговая стоимость
(с НДС)</t>
  </si>
  <si>
    <t>Доля рекламного бюджета, %</t>
  </si>
  <si>
    <t xml:space="preserve">Показы </t>
  </si>
  <si>
    <t>Частота
(весь срок)</t>
  </si>
  <si>
    <t>Охват</t>
  </si>
  <si>
    <t>CPM
(с НДС)</t>
  </si>
  <si>
    <t>CPT
(с НДС)</t>
  </si>
  <si>
    <t>Доступная емкость аудитории</t>
  </si>
  <si>
    <t>SOV, %</t>
  </si>
  <si>
    <t>CTR, %</t>
  </si>
  <si>
    <t xml:space="preserve">Клики </t>
  </si>
  <si>
    <t>CPC
(с НДС)</t>
  </si>
  <si>
    <t>CR, %</t>
  </si>
  <si>
    <t>Конверсии</t>
  </si>
  <si>
    <t>CPA
(с НДС)</t>
  </si>
  <si>
    <t>CR(I), %</t>
  </si>
  <si>
    <t>Установки</t>
  </si>
  <si>
    <t>CPI 
(с НДС)</t>
  </si>
  <si>
    <t>ДРР, %</t>
  </si>
  <si>
    <t>Средний
чек</t>
  </si>
  <si>
    <t>Доход</t>
  </si>
  <si>
    <t>См. *Название вкладки*</t>
  </si>
  <si>
    <t>01.01.2023 - 31.01.2023</t>
  </si>
  <si>
    <t>CPC</t>
  </si>
  <si>
    <t>CPM</t>
  </si>
  <si>
    <t>Итого</t>
  </si>
  <si>
    <t>-</t>
  </si>
  <si>
    <t>Медиабюджет до НДС</t>
  </si>
  <si>
    <t>Агентская комиссия до НДС</t>
  </si>
  <si>
    <t>Медиабюджет с АК до НДС</t>
  </si>
  <si>
    <t>НДС</t>
  </si>
  <si>
    <t>Медиабюджет с АК и НДС</t>
  </si>
  <si>
    <t>Разработка креативов</t>
  </si>
  <si>
    <t>Настройка аналитики</t>
  </si>
  <si>
    <t>Итого с АК и НДС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</si>
  <si>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</si>
  <si>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</si>
  <si>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</si>
  <si>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</si>
  <si>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</si>
  <si>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</si>
  <si>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</si>
  <si>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</si>
  <si>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</si>
  <si>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</si>
  <si>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</si>
  <si>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</si>
  <si>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CPI</t>
  </si>
  <si>
    <t>RTR, %</t>
  </si>
  <si>
    <t>Дочитывания</t>
  </si>
  <si>
    <t>CPR
(с НДС)</t>
  </si>
  <si>
    <t>% открытий статьи</t>
  </si>
  <si>
    <t>Открытия статьи</t>
  </si>
  <si>
    <t>ER, %</t>
  </si>
  <si>
    <t>Вовлечения</t>
  </si>
  <si>
    <t>CPE
(с НДС)</t>
  </si>
  <si>
    <t>\</t>
  </si>
  <si>
    <t>Единица измерения стоимости</t>
  </si>
  <si>
    <t>Цена за единицу
(без НДС)</t>
  </si>
  <si>
    <t>Кол-во
единиц</t>
  </si>
  <si>
    <t>01.02.2023 - 28.02.2023</t>
  </si>
  <si>
    <t>01.03.2023 - 31.03.2023</t>
  </si>
  <si>
    <t>CPA</t>
  </si>
  <si>
    <t>01.04.2023 - 30.04.2023</t>
  </si>
  <si>
    <t>01.05.2023 - 31.05.2023</t>
  </si>
  <si>
    <t>01.06.2023 - 30.06.2023</t>
  </si>
  <si>
    <t>01.07.2023 - 31.07.2023</t>
  </si>
  <si>
    <t>01.08.2023 - 31.08.2023</t>
  </si>
  <si>
    <t>01.09.2023 - 30.09.2023</t>
  </si>
  <si>
    <t>01.10.2023 - 31.10.2023</t>
  </si>
  <si>
    <t>CPL
(с НДС)</t>
  </si>
  <si>
    <t>01.11.2023 - 30.11.2023</t>
  </si>
  <si>
    <t>01.12.2023 - 31.12.2023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</si>
</sst>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р.&quot;"/>
    <numFmt numFmtId="165" formatCode="#,##0&quot;р.&quot;"/>
  </numFmts>
  <fonts count="4" x14ac:knownFonts="1">
    <font>
      <sz val="10"/>
      <color rgb="FF000000"/>
      <name val="Calibri"/>
      <scheme val="minor"/>
    </font>
    <font>
      <sz val="9"/>
      <color theme="0"/>
      <name val="Arial"/>
    </font>
    <font>
      <sz val="9"/>
      <color rgb="FFFFFFFF"/>
      <name val="Arial"/>
    </font>
    <font>
      <sz val="9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EFEFEF"/>
      </patternFill>
    </fill>
    <fill>
      <patternFill patternType="solid">
        <fgColor theme="0" tint="-4.9989318521683403E-2"/>
        <bgColor rgb="FFFFFF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7">
    <xf numFmtId="0" fontId="0" fillId="0" borderId="0" xfId="0"/>
    <xf numFmtId="2" fontId="1" fillId="2" borderId="2" xfId="0" applyNumberFormat="1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65" fontId="3" fillId="5" borderId="2" xfId="0" applyNumberFormat="1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10" fontId="3" fillId="4" borderId="2" xfId="0" applyNumberFormat="1" applyFont="1" applyFill="1" applyBorder="1" applyAlignment="1">
      <alignment horizontal="center" vertical="center" wrapText="1"/>
    </xf>
    <xf numFmtId="10" fontId="3" fillId="5" borderId="2" xfId="0" applyNumberFormat="1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center" vertical="center" wrapText="1"/>
    </xf>
    <xf numFmtId="10" fontId="1" fillId="3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textRotation="90" wrapText="1"/>
    </xf>
    <xf numFmtId="3" fontId="3" fillId="7" borderId="2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3" fillId="8" borderId="2" xfId="0" applyNumberFormat="1" applyFont="1" applyFill="1" applyBorder="1" applyAlignment="1">
      <alignment horizontal="center" vertical="center" wrapText="1"/>
    </xf>
    <xf numFmtId="3" fontId="3" fillId="9" borderId="2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50"/>
  <sheetViews>
    <sheetView showGridLines="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 x14ac:dyDescent="0.3"/>
  <cols>
    <col min="1" max="1" width="2.88671875" customWidth="1"/>
    <col min="2" max="4" width="32.44140625" customWidth="1"/>
    <col min="5" max="5" width="2.88671875" customWidth="1"/>
    <col min="6" max="17" width="4.33203125" customWidth="1"/>
    <col min="18" max="18" width="2.88671875" customWidth="1"/>
    <col min="19" max="22" width="12" customWidth="1"/>
    <col min="23" max="23" width="2.88671875" customWidth="1"/>
    <col min="24" max="30" width="12" customWidth="1"/>
    <col min="31" max="31" width="2.88671875" customWidth="1"/>
    <col min="32" max="38" width="12" customWidth="1"/>
    <col min="39" max="39" width="2.88671875" customWidth="1"/>
    <col min="40" max="42" width="12" customWidth="1"/>
    <col min="43" max="43" width="2.88671875" customWidth="1"/>
    <col min="44" max="46" width="12" customWidth="1"/>
    <col min="47" max="47" width="2.88671875" customWidth="1"/>
    <col min="48" max="50" width="12" customWidth="1"/>
    <col min="51" max="51" width="2.88671875" customWidth="1"/>
    <col min="52" max="54" width="12" customWidth="1"/>
    <col min="55" max="55" width="2.88671875" customWidth="1"/>
    <col min="56" max="60" width="12" hidden="1" customWidth="1"/>
    <col min="61" max="61" width="2.88671875" hidden="1" customWidth="1"/>
    <col min="62" max="64" width="12" hidden="1" customWidth="1"/>
    <col min="65" max="65" width="2.88671875" hidden="1" customWidth="1"/>
  </cols>
  <sheetData>
    <row r="1" spans="1:65" ht="13.8" x14ac:dyDescent="0.3">
      <c r="A1" s="25"/>
      <c r="B1" s="26"/>
      <c r="C1" s="26"/>
      <c r="D1" s="26"/>
      <c r="E1" s="2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5"/>
      <c r="S1" s="26"/>
      <c r="T1" s="26"/>
      <c r="U1" s="26"/>
      <c r="V1" s="26"/>
      <c r="W1" s="25"/>
      <c r="X1" s="26"/>
      <c r="Y1" s="26"/>
      <c r="Z1" s="26"/>
      <c r="AA1" s="26"/>
      <c r="AB1" s="26"/>
      <c r="AC1" s="26"/>
      <c r="AD1" s="26"/>
      <c r="AE1" s="25"/>
      <c r="AF1" s="26"/>
      <c r="AG1" s="26"/>
      <c r="AH1" s="26"/>
      <c r="AI1" s="26"/>
      <c r="AJ1" s="26"/>
      <c r="AK1" s="26"/>
      <c r="AL1" s="26"/>
      <c r="AM1" s="25"/>
      <c r="AN1" s="26"/>
      <c r="AO1" s="26"/>
      <c r="AP1" s="26"/>
      <c r="AQ1" s="25"/>
      <c r="AR1" s="27"/>
      <c r="AS1" s="27"/>
      <c r="AT1" s="27"/>
      <c r="AU1" s="25"/>
      <c r="AV1" s="27"/>
      <c r="AW1" s="27"/>
      <c r="AX1" s="27"/>
      <c r="AY1" s="25"/>
      <c r="AZ1" s="27"/>
      <c r="BA1" s="27"/>
      <c r="BB1" s="27"/>
      <c r="BC1" s="25"/>
      <c r="BD1" s="26"/>
      <c r="BE1" s="26"/>
      <c r="BF1" s="26"/>
      <c r="BG1" s="26"/>
      <c r="BH1" s="26"/>
      <c r="BI1" s="25"/>
      <c r="BJ1" s="26"/>
      <c r="BK1" s="26"/>
      <c r="BL1" s="26"/>
      <c r="BM1" s="25"/>
    </row>
    <row r="2" spans="1:65" ht="51.75" customHeight="1" x14ac:dyDescent="0.3">
      <c r="A2" s="1"/>
      <c r="B2" s="2" t="s">
        <v>0</v>
      </c>
      <c r="C2" s="2" t="s">
        <v>1</v>
      </c>
      <c r="D2" s="2" t="s">
        <v>2</v>
      </c>
      <c r="E2" s="1"/>
      <c r="F2" s="28" t="s">
        <v>47</v>
      </c>
      <c r="G2" s="28" t="s">
        <v>48</v>
      </c>
      <c r="H2" s="28" t="s">
        <v>49</v>
      </c>
      <c r="I2" s="28" t="s">
        <v>50</v>
      </c>
      <c r="J2" s="28" t="s">
        <v>51</v>
      </c>
      <c r="K2" s="28" t="s">
        <v>52</v>
      </c>
      <c r="L2" s="28" t="s">
        <v>53</v>
      </c>
      <c r="M2" s="28" t="s">
        <v>54</v>
      </c>
      <c r="N2" s="28" t="s">
        <v>55</v>
      </c>
      <c r="O2" s="28" t="s">
        <v>56</v>
      </c>
      <c r="P2" s="28" t="s">
        <v>57</v>
      </c>
      <c r="Q2" s="28" t="s">
        <v>58</v>
      </c>
      <c r="R2" s="1"/>
      <c r="S2" s="3" t="s">
        <v>3</v>
      </c>
      <c r="T2" s="3" t="s">
        <v>4</v>
      </c>
      <c r="U2" s="3" t="s">
        <v>5</v>
      </c>
      <c r="V2" s="3" t="s">
        <v>6</v>
      </c>
      <c r="W2" s="1"/>
      <c r="X2" s="4" t="s">
        <v>7</v>
      </c>
      <c r="Y2" s="3" t="s">
        <v>8</v>
      </c>
      <c r="Z2" s="4" t="s">
        <v>9</v>
      </c>
      <c r="AA2" s="3" t="s">
        <v>10</v>
      </c>
      <c r="AB2" s="5" t="s">
        <v>11</v>
      </c>
      <c r="AC2" s="5" t="s">
        <v>12</v>
      </c>
      <c r="AD2" s="4" t="s">
        <v>13</v>
      </c>
      <c r="AE2" s="1"/>
      <c r="AF2" s="2" t="s">
        <v>14</v>
      </c>
      <c r="AG2" s="2" t="s">
        <v>15</v>
      </c>
      <c r="AH2" s="2" t="s">
        <v>16</v>
      </c>
      <c r="AI2" s="2" t="s">
        <v>17</v>
      </c>
      <c r="AJ2" s="2" t="s">
        <v>18</v>
      </c>
      <c r="AK2" s="2" t="s">
        <v>19</v>
      </c>
      <c r="AL2" s="2" t="s">
        <v>20</v>
      </c>
      <c r="AM2" s="1"/>
      <c r="AN2" s="6" t="s">
        <v>21</v>
      </c>
      <c r="AO2" s="7" t="s">
        <v>22</v>
      </c>
      <c r="AP2" s="7" t="s">
        <v>23</v>
      </c>
      <c r="AQ2" s="1"/>
      <c r="AR2" s="6" t="s">
        <v>24</v>
      </c>
      <c r="AS2" s="8" t="s">
        <v>25</v>
      </c>
      <c r="AT2" s="8" t="s">
        <v>26</v>
      </c>
      <c r="AU2" s="1"/>
      <c r="AV2" s="9" t="s">
        <v>27</v>
      </c>
      <c r="AW2" s="8" t="s">
        <v>28</v>
      </c>
      <c r="AX2" s="8" t="s">
        <v>59</v>
      </c>
      <c r="AY2" s="1"/>
      <c r="AZ2" s="9" t="s">
        <v>30</v>
      </c>
      <c r="BA2" s="8" t="s">
        <v>31</v>
      </c>
      <c r="BB2" s="8" t="s">
        <v>32</v>
      </c>
      <c r="BC2" s="1"/>
      <c r="BD2" s="6" t="s">
        <v>60</v>
      </c>
      <c r="BE2" s="7" t="s">
        <v>61</v>
      </c>
      <c r="BF2" s="7" t="s">
        <v>62</v>
      </c>
      <c r="BG2" s="8" t="s">
        <v>63</v>
      </c>
      <c r="BH2" s="8" t="s">
        <v>64</v>
      </c>
      <c r="BI2" s="1"/>
      <c r="BJ2" s="6" t="s">
        <v>65</v>
      </c>
      <c r="BK2" s="7" t="s">
        <v>66</v>
      </c>
      <c r="BL2" s="7" t="s">
        <v>67</v>
      </c>
      <c r="BM2" s="1"/>
    </row>
    <row r="3" spans="1:65" ht="30.75" customHeight="1" x14ac:dyDescent="0.3">
      <c r="A3" s="10"/>
      <c r="B3" s="11" t="s">
        <v>0</v>
      </c>
      <c r="C3" s="12" t="s">
        <v>1</v>
      </c>
      <c r="D3" s="12" t="s">
        <v>33</v>
      </c>
      <c r="E3" s="10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10"/>
      <c r="S3" s="13"/>
      <c r="T3" s="14" t="s">
        <v>59</v>
      </c>
      <c r="U3" s="17" t="str">
        <f t="shared" ref="U3:U7" si="0">IFERROR(X3/V3,"-")</f>
        <v>-</v>
      </c>
      <c r="V3" s="16">
        <f>IFERROR(МП_Periods!I3+МП_Periods!I11+МП_Periods!I19+МП_Periods!I27+МП_Periods!I35+МП_Periods!I43+МП_Periods!I51+МП_Periods!I59+МП_Periods!I67+МП_Periods!I75+МП_Periods!I83+МП_Periods!I91,"-")</f>
        <v>0</v>
      </c>
      <c r="W3" s="10"/>
      <c r="X3" s="15">
        <f>IFERROR(МП_Periods!K3+МП_Periods!K11+МП_Periods!K19+МП_Periods!K27+МП_Periods!K35+МП_Periods!K43+МП_Periods!K51+МП_Periods!K59+МП_Periods!K67+МП_Periods!K75+МП_Periods!K83+МП_Periods!K91,"-")</f>
        <v>0</v>
      </c>
      <c r="Y3" s="18" t="str">
        <f t="shared" ref="Y3:Y7" si="1">IFERROR(1-(Z3/X3),"-")</f>
        <v>-</v>
      </c>
      <c r="Z3" s="17">
        <f>IFERROR(МП_Periods!M3+МП_Periods!M11+МП_Periods!M19+МП_Periods!M27+МП_Periods!M35+МП_Periods!M43+МП_Periods!M51+МП_Periods!M59+МП_Periods!M67+МП_Periods!M75+МП_Periods!M83+МП_Periods!M91,"-")</f>
        <v>0</v>
      </c>
      <c r="AA3" s="18" t="str">
        <f t="shared" ref="AA3:AA7" si="2">IFERROR((AB3/Z3)-1,"-")</f>
        <v>-</v>
      </c>
      <c r="AB3" s="15">
        <f>IFERROR(МП_Periods!O3+МП_Periods!O11+МП_Periods!O19+МП_Periods!O27+МП_Periods!O35+МП_Periods!O43+МП_Periods!O51+МП_Periods!O59+МП_Periods!O67+МП_Periods!O75+МП_Periods!O83+МП_Periods!O91,"-")</f>
        <v>0</v>
      </c>
      <c r="AC3" s="15">
        <f>IFERROR(МП_Periods!P3+МП_Periods!P11+МП_Periods!P19+МП_Periods!P27+МП_Periods!P35+МП_Periods!P43+МП_Periods!P51+МП_Periods!P59+МП_Periods!P67+МП_Periods!P75+МП_Periods!P83+МП_Periods!P91,"-")</f>
        <v>0</v>
      </c>
      <c r="AD3" s="18" t="str">
        <f t="shared" ref="AD3:AD7" si="3">IFERROR(AC3/$AC$8,"-")</f>
        <v>-</v>
      </c>
      <c r="AE3" s="10"/>
      <c r="AF3" s="16">
        <f>IFERROR(МП_Periods!S3+МП_Periods!S11+МП_Periods!S19+МП_Periods!S27+МП_Periods!S35+МП_Periods!S43+МП_Periods!S51+МП_Periods!S59+МП_Periods!S67+МП_Periods!S75+МП_Periods!S83+МП_Periods!S91,"-")</f>
        <v>0</v>
      </c>
      <c r="AG3" s="13" t="str">
        <f t="shared" ref="AG3:AG7" si="4">IFERROR(AF3/AH3,"-")</f>
        <v>-</v>
      </c>
      <c r="AH3" s="13" t="str">
        <f>IFERROR(МП_Periods!#REF!+МП_Periods!#REF!+МП_Periods!#REF!+МП_Periods!#REF!+МП_Periods!#REF!+МП_Periods!#REF!+МП_Periods!#REF!+МП_Periods!#REF!+МП_Periods!#REF!+МП_Periods!#REF!+МП_Periods!#REF!+МП_Periods!#REF!,"-")</f>
        <v>-</v>
      </c>
      <c r="AI3" s="17" t="str">
        <f t="shared" ref="AI3:AI8" si="5">IFERROR(AC3/AF3*1000,"-")</f>
        <v>-</v>
      </c>
      <c r="AJ3" s="17" t="str">
        <f t="shared" ref="AJ3:AJ8" si="6">IFERROR(AC3/AH3*1000,"-")</f>
        <v>-</v>
      </c>
      <c r="AK3" s="16" t="str">
        <f>IFERROR(MAX(МП_Periods!#REF!,МП_Periods!#REF!,МП_Periods!#REF!,МП_Periods!#REF!,МП_Periods!#REF!,МП_Periods!#REF!,МП_Periods!#REF!,МП_Periods!#REF!,МП_Periods!#REF!,МП_Periods!#REF!,МП_Periods!#REF!,МП_Periods!#REF!),"-")</f>
        <v>-</v>
      </c>
      <c r="AL3" s="18" t="str">
        <f t="shared" ref="AL3:AL7" si="7">IFERROR(#REF!/AK3,"-")</f>
        <v>-</v>
      </c>
      <c r="AM3" s="10"/>
      <c r="AN3" s="18" t="str">
        <f t="shared" ref="AN3:AN8" si="8">IFERROR(AO3/AF3,"-")</f>
        <v>-</v>
      </c>
      <c r="AO3" s="16">
        <f>IFERROR(МП_Periods!W3+МП_Periods!W11+МП_Periods!W19+МП_Periods!W27+МП_Periods!W35+МП_Periods!W43+МП_Periods!W51+МП_Periods!W59+МП_Periods!W67+МП_Periods!W75+МП_Periods!W83+МП_Periods!W91,"-")</f>
        <v>0</v>
      </c>
      <c r="AP3" s="17" t="str">
        <f t="shared" ref="AP3:AP8" si="9">IFERROR(AC3/AO3,"-")</f>
        <v>-</v>
      </c>
      <c r="AQ3" s="10"/>
      <c r="AR3" s="18" t="str">
        <f t="shared" ref="AR3:AR8" si="10">IFERROR(AS3/AO3,"-")</f>
        <v>-</v>
      </c>
      <c r="AS3" s="16">
        <f>IFERROR(МП_Periods!AA3+МП_Periods!AA11+МП_Periods!AA19+МП_Periods!AA27+МП_Periods!AA35+МП_Periods!AA43+МП_Periods!AA51+МП_Periods!AA59+МП_Periods!AA67+МП_Periods!AA75+МП_Periods!AA83+МП_Periods!AA91,"-")</f>
        <v>0</v>
      </c>
      <c r="AT3" s="17" t="str">
        <f t="shared" ref="AT3:AT8" si="11">IFERROR(AC3/AS3,"-")</f>
        <v>-</v>
      </c>
      <c r="AU3" s="10"/>
      <c r="AV3" s="18" t="str">
        <f t="shared" ref="AV3:AV8" si="12">IFERROR(AW3/AO3,"-")</f>
        <v>-</v>
      </c>
      <c r="AW3" s="16">
        <f>IFERROR(МП_Periods!AE3+МП_Periods!AE11+МП_Periods!AE19+МП_Periods!AE27+МП_Periods!AE35+МП_Periods!AE43+МП_Periods!AE51+МП_Periods!AE59+МП_Periods!AE67+МП_Periods!AE75+МП_Periods!AE83+МП_Periods!AE91,"-")</f>
        <v>0</v>
      </c>
      <c r="AX3" s="17" t="str">
        <f t="shared" ref="AX3:AX7" si="13">IFERROR(AC3/AW3,"-")</f>
        <v>-</v>
      </c>
      <c r="AY3" s="10"/>
      <c r="AZ3" s="18" t="str">
        <f t="shared" ref="AZ3:AZ8" si="14">IFERROR(AC3/BB3,"-")</f>
        <v>-</v>
      </c>
      <c r="BA3" s="17" t="str">
        <f>IFERROR(AVERAGE(МП_Periods!AI3,МП_Periods!AI11,МП_Periods!AI19,МП_Periods!AI27,МП_Periods!AI35,МП_Periods!AI43,МП_Periods!AI51,МП_Periods!AI59,МП_Periods!AI67,МП_Periods!AI75,МП_Periods!AI83,МП_Periods!AI91),"-")</f>
        <v>-</v>
      </c>
      <c r="BB3" s="17" t="s">
        <v>38</v>
      </c>
      <c r="BC3" s="10"/>
      <c r="BD3" s="18" t="str">
        <f t="shared" ref="BD3:BD8" si="15">IFERROR(BE3/AF3,"-")</f>
        <v>-</v>
      </c>
      <c r="BE3" s="13" t="str">
        <f t="shared" ref="BE3:BE7" si="16">IFERROR(#REF!+#REF!+#REF!+#REF!+#REF!+#REF!+#REF!+#REF!+#REF!+#REF!+#REF!+#REF!,"-")</f>
        <v>-</v>
      </c>
      <c r="BF3" s="17" t="str">
        <f t="shared" ref="BF3:BF8" si="17">IFERROR(AC3/BE3,"-")</f>
        <v>-</v>
      </c>
      <c r="BG3" s="18" t="str">
        <f t="shared" ref="BG3:BG8" si="18">IFERROR(BH3/AF3,"-")</f>
        <v>-</v>
      </c>
      <c r="BH3" s="13" t="str">
        <f t="shared" ref="BH3:BH7" si="19">IFERROR(#REF!+#REF!+#REF!+#REF!+#REF!+#REF!+#REF!+#REF!+#REF!+#REF!+#REF!+#REF!,"-")</f>
        <v>-</v>
      </c>
      <c r="BI3" s="10"/>
      <c r="BJ3" s="18" t="str">
        <f t="shared" ref="BJ3:BJ8" si="20">IFERROR(BK3/AF3,"-")</f>
        <v>-</v>
      </c>
      <c r="BK3" s="13" t="str">
        <f t="shared" ref="BK3:BK7" si="21">IFERROR(#REF!+#REF!+#REF!+#REF!+#REF!+#REF!+#REF!+#REF!+#REF!+#REF!+#REF!+#REF!,"-")</f>
        <v>-</v>
      </c>
      <c r="BL3" s="17" t="str">
        <f t="shared" ref="BL3:BL8" si="22">IFERROR(AC3/BK3,"-")</f>
        <v>-</v>
      </c>
      <c r="BM3" s="10"/>
    </row>
    <row r="4" spans="1:65" ht="30.75" customHeight="1" x14ac:dyDescent="0.3">
      <c r="A4" s="10"/>
      <c r="B4" s="11" t="s">
        <v>0</v>
      </c>
      <c r="C4" s="12" t="s">
        <v>1</v>
      </c>
      <c r="D4" s="12" t="s">
        <v>33</v>
      </c>
      <c r="E4" s="10"/>
      <c r="F4" s="13"/>
      <c r="G4" s="29"/>
      <c r="H4" s="13"/>
      <c r="I4" s="13"/>
      <c r="J4" s="13"/>
      <c r="K4" s="13"/>
      <c r="L4" s="13"/>
      <c r="M4" s="13"/>
      <c r="N4" s="13"/>
      <c r="O4" s="13"/>
      <c r="P4" s="13"/>
      <c r="Q4" s="13"/>
      <c r="R4" s="10"/>
      <c r="S4" s="13"/>
      <c r="T4" s="14" t="s">
        <v>61</v>
      </c>
      <c r="U4" s="17" t="str">
        <f t="shared" si="0"/>
        <v>-</v>
      </c>
      <c r="V4" s="16">
        <f>IFERROR(МП_Periods!I4+МП_Periods!I12+МП_Periods!I20+МП_Periods!I28+МП_Periods!I36+МП_Periods!I44+МП_Periods!I52+МП_Periods!I60+МП_Periods!I68+МП_Periods!I76+МП_Periods!I84+МП_Periods!I92,"-")</f>
        <v>0</v>
      </c>
      <c r="W4" s="10"/>
      <c r="X4" s="15">
        <f>IFERROR(МП_Periods!K4+МП_Periods!K12+МП_Periods!K20+МП_Periods!K28+МП_Periods!K36+МП_Periods!K44+МП_Periods!K52+МП_Periods!K60+МП_Periods!K68+МП_Periods!K76+МП_Periods!K84+МП_Periods!K92,"-")</f>
        <v>0</v>
      </c>
      <c r="Y4" s="18" t="str">
        <f t="shared" si="1"/>
        <v>-</v>
      </c>
      <c r="Z4" s="17">
        <f>IFERROR(МП_Periods!M4+МП_Periods!M12+МП_Periods!M20+МП_Periods!M28+МП_Periods!M36+МП_Periods!M44+МП_Periods!M52+МП_Periods!M60+МП_Periods!M68+МП_Periods!M76+МП_Periods!M84+МП_Periods!M92,"-")</f>
        <v>0</v>
      </c>
      <c r="AA4" s="18" t="str">
        <f t="shared" si="2"/>
        <v>-</v>
      </c>
      <c r="AB4" s="15">
        <f>IFERROR(МП_Periods!O4+МП_Periods!O12+МП_Periods!O20+МП_Periods!O28+МП_Periods!O36+МП_Periods!O44+МП_Periods!O52+МП_Periods!O60+МП_Periods!O68+МП_Periods!O76+МП_Periods!O84+МП_Periods!O92,"-")</f>
        <v>0</v>
      </c>
      <c r="AC4" s="15">
        <f>IFERROR(МП_Periods!P4+МП_Periods!P12+МП_Periods!P20+МП_Periods!P28+МП_Periods!P36+МП_Periods!P44+МП_Periods!P52+МП_Periods!P60+МП_Periods!P68+МП_Periods!P76+МП_Periods!P84+МП_Periods!P92,"-")</f>
        <v>0</v>
      </c>
      <c r="AD4" s="30" t="str">
        <f t="shared" si="3"/>
        <v>-</v>
      </c>
      <c r="AE4" s="10"/>
      <c r="AF4" s="16">
        <f>IFERROR(МП_Periods!S4+МП_Periods!S12+МП_Periods!S20+МП_Periods!S28+МП_Periods!S36+МП_Periods!S44+МП_Periods!S52+МП_Periods!S60+МП_Periods!S68+МП_Periods!S76+МП_Periods!S84+МП_Periods!S92,"-")</f>
        <v>0</v>
      </c>
      <c r="AG4" s="13" t="str">
        <f t="shared" si="4"/>
        <v>-</v>
      </c>
      <c r="AH4" s="13" t="str">
        <f>IFERROR(МП_Periods!#REF!+МП_Periods!#REF!+МП_Periods!#REF!+МП_Periods!#REF!+МП_Periods!#REF!+МП_Periods!#REF!+МП_Periods!#REF!+МП_Periods!#REF!+МП_Periods!#REF!+МП_Periods!#REF!+МП_Periods!#REF!+МП_Periods!#REF!,"-")</f>
        <v>-</v>
      </c>
      <c r="AI4" s="17" t="str">
        <f t="shared" si="5"/>
        <v>-</v>
      </c>
      <c r="AJ4" s="17" t="str">
        <f t="shared" si="6"/>
        <v>-</v>
      </c>
      <c r="AK4" s="16" t="str">
        <f>IFERROR(MAX(МП_Periods!#REF!,МП_Periods!#REF!,МП_Periods!#REF!,МП_Periods!#REF!,МП_Periods!#REF!,МП_Periods!#REF!,МП_Periods!#REF!,МП_Periods!#REF!,МП_Periods!#REF!,МП_Periods!#REF!,МП_Periods!#REF!,МП_Periods!#REF!),"-")</f>
        <v>-</v>
      </c>
      <c r="AL4" s="18" t="str">
        <f t="shared" si="7"/>
        <v>-</v>
      </c>
      <c r="AM4" s="10"/>
      <c r="AN4" s="18" t="str">
        <f t="shared" si="8"/>
        <v>-</v>
      </c>
      <c r="AO4" s="16">
        <f>IFERROR(МП_Periods!W4+МП_Periods!W12+МП_Periods!W20+МП_Periods!W28+МП_Periods!W36+МП_Periods!W44+МП_Periods!W52+МП_Periods!W60+МП_Periods!W68+МП_Periods!W76+МП_Periods!W84+МП_Periods!W92,"-")</f>
        <v>0</v>
      </c>
      <c r="AP4" s="17" t="str">
        <f t="shared" si="9"/>
        <v>-</v>
      </c>
      <c r="AQ4" s="10"/>
      <c r="AR4" s="18" t="str">
        <f t="shared" si="10"/>
        <v>-</v>
      </c>
      <c r="AS4" s="16">
        <f>IFERROR(МП_Periods!AA4+МП_Periods!AA12+МП_Periods!AA20+МП_Periods!AA28+МП_Periods!AA36+МП_Periods!AA44+МП_Periods!AA52+МП_Periods!AA60+МП_Periods!AA68+МП_Periods!AA76+МП_Periods!AA84+МП_Periods!AA92,"-")</f>
        <v>0</v>
      </c>
      <c r="AT4" s="17" t="str">
        <f t="shared" si="11"/>
        <v>-</v>
      </c>
      <c r="AU4" s="10"/>
      <c r="AV4" s="18" t="str">
        <f t="shared" si="12"/>
        <v>-</v>
      </c>
      <c r="AW4" s="16">
        <f>IFERROR(МП_Periods!AE4+МП_Periods!AE12+МП_Periods!AE20+МП_Periods!AE28+МП_Periods!AE36+МП_Periods!AE44+МП_Periods!AE52+МП_Periods!AE60+МП_Periods!AE68+МП_Periods!AE76+МП_Periods!AE84+МП_Periods!AE92,"-")</f>
        <v>0</v>
      </c>
      <c r="AX4" s="17" t="str">
        <f t="shared" si="13"/>
        <v>-</v>
      </c>
      <c r="AY4" s="10"/>
      <c r="AZ4" s="18" t="str">
        <f t="shared" si="14"/>
        <v>-</v>
      </c>
      <c r="BA4" s="17" t="str">
        <f>IFERROR(AVERAGE(МП_Periods!AI4,МП_Periods!AI12,МП_Periods!AI20,МП_Periods!AI28,МП_Periods!AI36,МП_Periods!AI44,МП_Periods!AI52,МП_Periods!AI60,МП_Periods!AI68,МП_Periods!AI76,МП_Periods!AI84,МП_Periods!AI92),"-")</f>
        <v>-</v>
      </c>
      <c r="BB4" s="17" t="s">
        <v>38</v>
      </c>
      <c r="BC4" s="10"/>
      <c r="BD4" s="18" t="str">
        <f t="shared" si="15"/>
        <v>-</v>
      </c>
      <c r="BE4" s="13" t="str">
        <f t="shared" si="16"/>
        <v>-</v>
      </c>
      <c r="BF4" s="17" t="str">
        <f t="shared" si="17"/>
        <v>-</v>
      </c>
      <c r="BG4" s="18" t="str">
        <f t="shared" si="18"/>
        <v>-</v>
      </c>
      <c r="BH4" s="13" t="str">
        <f t="shared" si="19"/>
        <v>-</v>
      </c>
      <c r="BI4" s="10"/>
      <c r="BJ4" s="18" t="str">
        <f t="shared" si="20"/>
        <v>-</v>
      </c>
      <c r="BK4" s="13" t="str">
        <f t="shared" si="21"/>
        <v>-</v>
      </c>
      <c r="BL4" s="17" t="str">
        <f t="shared" si="22"/>
        <v>-</v>
      </c>
      <c r="BM4" s="10"/>
    </row>
    <row r="5" spans="1:65" ht="30.75" customHeight="1" x14ac:dyDescent="0.3">
      <c r="A5" s="10"/>
      <c r="B5" s="11" t="s">
        <v>0</v>
      </c>
      <c r="C5" s="12" t="s">
        <v>1</v>
      </c>
      <c r="D5" s="12" t="s">
        <v>33</v>
      </c>
      <c r="E5" s="10"/>
      <c r="F5" s="13"/>
      <c r="G5" s="13"/>
      <c r="H5" s="29"/>
      <c r="I5" s="13"/>
      <c r="J5" s="13"/>
      <c r="K5" s="13"/>
      <c r="L5" s="13"/>
      <c r="M5" s="13"/>
      <c r="N5" s="13"/>
      <c r="O5" s="13"/>
      <c r="P5" s="13"/>
      <c r="Q5" s="13"/>
      <c r="R5" s="10"/>
      <c r="S5" s="13"/>
      <c r="T5" s="14" t="s">
        <v>36</v>
      </c>
      <c r="U5" s="17" t="str">
        <f t="shared" si="0"/>
        <v>-</v>
      </c>
      <c r="V5" s="16">
        <f>IFERROR(МП_Periods!I5+МП_Periods!I13+МП_Periods!I21+МП_Periods!I29+МП_Periods!I37+МП_Periods!I45+МП_Periods!I53+МП_Periods!I61+МП_Periods!I69+МП_Periods!I77+МП_Periods!I85+МП_Periods!I93,"-")</f>
        <v>0</v>
      </c>
      <c r="W5" s="10"/>
      <c r="X5" s="15">
        <f>IFERROR(МП_Periods!K5+МП_Periods!K13+МП_Periods!K21+МП_Periods!K29+МП_Periods!K37+МП_Periods!K45+МП_Periods!K53+МП_Periods!K61+МП_Periods!K69+МП_Periods!K77+МП_Periods!K85+МП_Periods!K93,"-")</f>
        <v>0</v>
      </c>
      <c r="Y5" s="18" t="str">
        <f t="shared" si="1"/>
        <v>-</v>
      </c>
      <c r="Z5" s="17">
        <f>IFERROR(МП_Periods!M5+МП_Periods!M13+МП_Periods!M21+МП_Periods!M29+МП_Periods!M37+МП_Periods!M45+МП_Periods!M53+МП_Periods!M61+МП_Periods!M69+МП_Periods!M77+МП_Periods!M85+МП_Periods!M93,"-")</f>
        <v>0</v>
      </c>
      <c r="AA5" s="18" t="str">
        <f t="shared" si="2"/>
        <v>-</v>
      </c>
      <c r="AB5" s="15">
        <f>IFERROR(МП_Periods!O5+МП_Periods!O13+МП_Periods!O21+МП_Periods!O29+МП_Periods!O37+МП_Periods!O45+МП_Periods!O53+МП_Periods!O61+МП_Periods!O69+МП_Periods!O77+МП_Periods!O85+МП_Periods!O93,"-")</f>
        <v>0</v>
      </c>
      <c r="AC5" s="15">
        <f>IFERROR(МП_Periods!P5+МП_Periods!P13+МП_Periods!P21+МП_Periods!P29+МП_Periods!P37+МП_Periods!P45+МП_Periods!P53+МП_Periods!P61+МП_Periods!P69+МП_Periods!P77+МП_Periods!P85+МП_Periods!P93,"-")</f>
        <v>0</v>
      </c>
      <c r="AD5" s="30" t="str">
        <f t="shared" si="3"/>
        <v>-</v>
      </c>
      <c r="AE5" s="10"/>
      <c r="AF5" s="16">
        <f>IFERROR(МП_Periods!S5+МП_Periods!S13+МП_Periods!S21+МП_Periods!S29+МП_Periods!S37+МП_Periods!S45+МП_Periods!S53+МП_Periods!S61+МП_Periods!S69+МП_Periods!S77+МП_Periods!S85+МП_Periods!S93,"-")</f>
        <v>0</v>
      </c>
      <c r="AG5" s="13" t="str">
        <f t="shared" si="4"/>
        <v>-</v>
      </c>
      <c r="AH5" s="13" t="str">
        <f>IFERROR(МП_Periods!#REF!+МП_Periods!#REF!+МП_Periods!#REF!+МП_Periods!#REF!+МП_Periods!#REF!+МП_Periods!#REF!+МП_Periods!#REF!+МП_Periods!#REF!+МП_Periods!#REF!+МП_Periods!#REF!+МП_Periods!#REF!+МП_Periods!#REF!,"-")</f>
        <v>-</v>
      </c>
      <c r="AI5" s="17" t="str">
        <f t="shared" si="5"/>
        <v>-</v>
      </c>
      <c r="AJ5" s="17" t="str">
        <f t="shared" si="6"/>
        <v>-</v>
      </c>
      <c r="AK5" s="16" t="str">
        <f>IFERROR(MAX(МП_Periods!#REF!,МП_Periods!#REF!,МП_Periods!#REF!,МП_Periods!#REF!,МП_Periods!#REF!,МП_Periods!#REF!,МП_Periods!#REF!,МП_Periods!#REF!,МП_Periods!#REF!,МП_Periods!#REF!,МП_Periods!#REF!,МП_Periods!#REF!),"-")</f>
        <v>-</v>
      </c>
      <c r="AL5" s="18" t="str">
        <f t="shared" si="7"/>
        <v>-</v>
      </c>
      <c r="AM5" s="10"/>
      <c r="AN5" s="18" t="str">
        <f t="shared" si="8"/>
        <v>-</v>
      </c>
      <c r="AO5" s="16">
        <f>IFERROR(МП_Periods!W5+МП_Periods!W13+МП_Periods!W21+МП_Periods!W29+МП_Periods!W37+МП_Periods!W45+МП_Periods!W53+МП_Periods!W61+МП_Periods!W69+МП_Periods!W77+МП_Periods!W85+МП_Periods!W93,"-")</f>
        <v>0</v>
      </c>
      <c r="AP5" s="17" t="str">
        <f t="shared" si="9"/>
        <v>-</v>
      </c>
      <c r="AQ5" s="10"/>
      <c r="AR5" s="18" t="str">
        <f t="shared" si="10"/>
        <v>-</v>
      </c>
      <c r="AS5" s="16">
        <f>IFERROR(МП_Periods!AA5+МП_Periods!AA13+МП_Periods!AA21+МП_Periods!AA29+МП_Periods!AA37+МП_Periods!AA45+МП_Periods!AA53+МП_Periods!AA61+МП_Periods!AA69+МП_Periods!AA77+МП_Periods!AA85+МП_Periods!AA93,"-")</f>
        <v>0</v>
      </c>
      <c r="AT5" s="17" t="str">
        <f t="shared" si="11"/>
        <v>-</v>
      </c>
      <c r="AU5" s="10"/>
      <c r="AV5" s="18" t="str">
        <f t="shared" si="12"/>
        <v>-</v>
      </c>
      <c r="AW5" s="16">
        <f>IFERROR(МП_Periods!AE5+МП_Periods!AE13+МП_Periods!AE21+МП_Periods!AE29+МП_Periods!AE37+МП_Periods!AE45+МП_Periods!AE53+МП_Periods!AE61+МП_Periods!AE69+МП_Periods!AE77+МП_Periods!AE85+МП_Periods!AE93,"-")</f>
        <v>0</v>
      </c>
      <c r="AX5" s="17" t="str">
        <f t="shared" si="13"/>
        <v>-</v>
      </c>
      <c r="AY5" s="10"/>
      <c r="AZ5" s="18" t="str">
        <f t="shared" si="14"/>
        <v>-</v>
      </c>
      <c r="BA5" s="17" t="str">
        <f>IFERROR(AVERAGE(МП_Periods!AI5,МП_Periods!AI13,МП_Periods!AI21,МП_Periods!AI29,МП_Periods!AI37,МП_Periods!AI45,МП_Periods!AI53,МП_Periods!AI61,МП_Periods!AI69,МП_Periods!AI77,МП_Periods!AI85,МП_Periods!AI93),"-")</f>
        <v>-</v>
      </c>
      <c r="BB5" s="17" t="s">
        <v>38</v>
      </c>
      <c r="BC5" s="10"/>
      <c r="BD5" s="18" t="str">
        <f t="shared" si="15"/>
        <v>-</v>
      </c>
      <c r="BE5" s="13" t="str">
        <f t="shared" si="16"/>
        <v>-</v>
      </c>
      <c r="BF5" s="17" t="str">
        <f t="shared" si="17"/>
        <v>-</v>
      </c>
      <c r="BG5" s="18" t="str">
        <f t="shared" si="18"/>
        <v>-</v>
      </c>
      <c r="BH5" s="13" t="str">
        <f t="shared" si="19"/>
        <v>-</v>
      </c>
      <c r="BI5" s="10"/>
      <c r="BJ5" s="18" t="str">
        <f t="shared" si="20"/>
        <v>-</v>
      </c>
      <c r="BK5" s="13" t="str">
        <f t="shared" si="21"/>
        <v>-</v>
      </c>
      <c r="BL5" s="17" t="str">
        <f t="shared" si="22"/>
        <v>-</v>
      </c>
      <c r="BM5" s="10"/>
    </row>
    <row r="6" spans="1:65" ht="30.75" customHeight="1" x14ac:dyDescent="0.3">
      <c r="A6" s="10"/>
      <c r="B6" s="11" t="s">
        <v>0</v>
      </c>
      <c r="C6" s="12" t="s">
        <v>1</v>
      </c>
      <c r="D6" s="12" t="s">
        <v>33</v>
      </c>
      <c r="E6" s="10"/>
      <c r="F6" s="13"/>
      <c r="G6" s="13"/>
      <c r="H6" s="13"/>
      <c r="I6" s="29"/>
      <c r="J6" s="29"/>
      <c r="K6" s="29"/>
      <c r="L6" s="29"/>
      <c r="M6" s="29"/>
      <c r="N6" s="29"/>
      <c r="O6" s="29"/>
      <c r="P6" s="29"/>
      <c r="Q6" s="29"/>
      <c r="R6" s="10"/>
      <c r="S6" s="13"/>
      <c r="T6" s="14" t="s">
        <v>36</v>
      </c>
      <c r="U6" s="17" t="str">
        <f t="shared" si="0"/>
        <v>-</v>
      </c>
      <c r="V6" s="16">
        <f>IFERROR(МП_Periods!I6+МП_Periods!I14+МП_Periods!I22+МП_Periods!I30+МП_Periods!I38+МП_Periods!I46+МП_Periods!I54+МП_Periods!I62+МП_Periods!I70+МП_Periods!I78+МП_Periods!I86+МП_Periods!I94,"-")</f>
        <v>0</v>
      </c>
      <c r="W6" s="10"/>
      <c r="X6" s="15">
        <f>IFERROR(МП_Periods!K6+МП_Periods!K14+МП_Periods!K22+МП_Periods!K30+МП_Periods!K38+МП_Periods!K46+МП_Periods!K54+МП_Periods!K62+МП_Periods!K70+МП_Periods!K78+МП_Periods!K86+МП_Periods!K94,"-")</f>
        <v>0</v>
      </c>
      <c r="Y6" s="18" t="str">
        <f t="shared" si="1"/>
        <v>-</v>
      </c>
      <c r="Z6" s="17">
        <f>IFERROR(МП_Periods!M6+МП_Periods!M14+МП_Periods!M22+МП_Periods!M30+МП_Periods!M38+МП_Periods!M46+МП_Periods!M54+МП_Periods!M62+МП_Periods!M70+МП_Periods!M78+МП_Periods!M86+МП_Periods!M94,"-")</f>
        <v>0</v>
      </c>
      <c r="AA6" s="18" t="str">
        <f t="shared" si="2"/>
        <v>-</v>
      </c>
      <c r="AB6" s="15">
        <f>IFERROR(МП_Periods!O6+МП_Periods!O14+МП_Periods!O22+МП_Periods!O30+МП_Periods!O38+МП_Periods!O46+МП_Periods!O54+МП_Periods!O62+МП_Periods!O70+МП_Periods!O78+МП_Periods!O86+МП_Periods!O94,"-")</f>
        <v>0</v>
      </c>
      <c r="AC6" s="15">
        <f>IFERROR(МП_Periods!P6+МП_Periods!P14+МП_Periods!P22+МП_Periods!P30+МП_Periods!P38+МП_Periods!P46+МП_Periods!P54+МП_Periods!P62+МП_Periods!P70+МП_Periods!P78+МП_Periods!P86+МП_Periods!P94,"-")</f>
        <v>0</v>
      </c>
      <c r="AD6" s="30" t="str">
        <f t="shared" si="3"/>
        <v>-</v>
      </c>
      <c r="AE6" s="10"/>
      <c r="AF6" s="16">
        <f>IFERROR(МП_Periods!S6+МП_Periods!S14+МП_Periods!S22+МП_Periods!S30+МП_Periods!S38+МП_Periods!S46+МП_Periods!S54+МП_Periods!S62+МП_Periods!S70+МП_Periods!S78+МП_Periods!S86+МП_Periods!S94,"-")</f>
        <v>0</v>
      </c>
      <c r="AG6" s="13" t="str">
        <f t="shared" si="4"/>
        <v>-</v>
      </c>
      <c r="AH6" s="13" t="str">
        <f>IFERROR(МП_Periods!#REF!+МП_Periods!#REF!+МП_Periods!#REF!+МП_Periods!#REF!+МП_Periods!#REF!+МП_Periods!#REF!+МП_Periods!#REF!+МП_Periods!#REF!+МП_Periods!#REF!+МП_Periods!#REF!+МП_Periods!#REF!+МП_Periods!#REF!,"-")</f>
        <v>-</v>
      </c>
      <c r="AI6" s="17" t="str">
        <f t="shared" si="5"/>
        <v>-</v>
      </c>
      <c r="AJ6" s="17" t="str">
        <f t="shared" si="6"/>
        <v>-</v>
      </c>
      <c r="AK6" s="16" t="str">
        <f>IFERROR(MAX(МП_Periods!#REF!,МП_Periods!#REF!,МП_Periods!#REF!,МП_Periods!#REF!,МП_Periods!#REF!,МП_Periods!#REF!,МП_Periods!#REF!,МП_Periods!#REF!,МП_Periods!#REF!,МП_Periods!#REF!,МП_Periods!#REF!,МП_Periods!#REF!),"-")</f>
        <v>-</v>
      </c>
      <c r="AL6" s="18" t="str">
        <f t="shared" si="7"/>
        <v>-</v>
      </c>
      <c r="AM6" s="10"/>
      <c r="AN6" s="18" t="str">
        <f t="shared" si="8"/>
        <v>-</v>
      </c>
      <c r="AO6" s="16">
        <f>IFERROR(МП_Periods!W6+МП_Periods!W14+МП_Periods!W22+МП_Periods!W30+МП_Periods!W38+МП_Periods!W46+МП_Periods!W54+МП_Periods!W62+МП_Periods!W70+МП_Periods!W78+МП_Periods!W86+МП_Periods!W94,"-")</f>
        <v>0</v>
      </c>
      <c r="AP6" s="17" t="str">
        <f t="shared" si="9"/>
        <v>-</v>
      </c>
      <c r="AQ6" s="10"/>
      <c r="AR6" s="18" t="str">
        <f t="shared" si="10"/>
        <v>-</v>
      </c>
      <c r="AS6" s="16">
        <f>IFERROR(МП_Periods!AA6+МП_Periods!AA14+МП_Periods!AA22+МП_Periods!AA30+МП_Periods!AA38+МП_Periods!AA46+МП_Periods!AA54+МП_Periods!AA62+МП_Periods!AA70+МП_Periods!AA78+МП_Periods!AA86+МП_Periods!AA94,"-")</f>
        <v>0</v>
      </c>
      <c r="AT6" s="17" t="str">
        <f t="shared" si="11"/>
        <v>-</v>
      </c>
      <c r="AU6" s="10"/>
      <c r="AV6" s="18" t="str">
        <f t="shared" si="12"/>
        <v>-</v>
      </c>
      <c r="AW6" s="16">
        <f>IFERROR(МП_Periods!AE6+МП_Periods!AE14+МП_Periods!AE22+МП_Periods!AE30+МП_Periods!AE38+МП_Periods!AE46+МП_Periods!AE54+МП_Periods!AE62+МП_Periods!AE70+МП_Periods!AE78+МП_Periods!AE86+МП_Periods!AE94,"-")</f>
        <v>0</v>
      </c>
      <c r="AX6" s="17" t="str">
        <f t="shared" si="13"/>
        <v>-</v>
      </c>
      <c r="AY6" s="10"/>
      <c r="AZ6" s="18" t="str">
        <f t="shared" si="14"/>
        <v>-</v>
      </c>
      <c r="BA6" s="17" t="str">
        <f>IFERROR(AVERAGE(МП_Periods!AI6,МП_Periods!AI14,МП_Periods!AI22,МП_Periods!AI30,МП_Periods!AI38,МП_Periods!AI46,МП_Periods!AI54,МП_Periods!AI62,МП_Periods!AI70,МП_Periods!AI78,МП_Periods!AI86,МП_Periods!AI94),"-")</f>
        <v>-</v>
      </c>
      <c r="BB6" s="17" t="s">
        <v>38</v>
      </c>
      <c r="BC6" s="10"/>
      <c r="BD6" s="18" t="str">
        <f t="shared" si="15"/>
        <v>-</v>
      </c>
      <c r="BE6" s="13" t="str">
        <f t="shared" si="16"/>
        <v>-</v>
      </c>
      <c r="BF6" s="17" t="str">
        <f t="shared" si="17"/>
        <v>-</v>
      </c>
      <c r="BG6" s="18" t="str">
        <f t="shared" si="18"/>
        <v>-</v>
      </c>
      <c r="BH6" s="13" t="str">
        <f t="shared" si="19"/>
        <v>-</v>
      </c>
      <c r="BI6" s="10"/>
      <c r="BJ6" s="18" t="str">
        <f t="shared" si="20"/>
        <v>-</v>
      </c>
      <c r="BK6" s="13" t="str">
        <f t="shared" si="21"/>
        <v>-</v>
      </c>
      <c r="BL6" s="17" t="str">
        <f t="shared" si="22"/>
        <v>-</v>
      </c>
      <c r="BM6" s="10"/>
    </row>
    <row r="7" spans="1:65" ht="30.75" customHeight="1" x14ac:dyDescent="0.3">
      <c r="A7" s="10"/>
      <c r="B7" s="11" t="s">
        <v>0</v>
      </c>
      <c r="C7" s="12" t="s">
        <v>1</v>
      </c>
      <c r="D7" s="12" t="s">
        <v>33</v>
      </c>
      <c r="E7" s="10"/>
      <c r="F7" s="2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0"/>
      <c r="S7" s="13"/>
      <c r="T7" s="14" t="s">
        <v>36</v>
      </c>
      <c r="U7" s="17" t="str">
        <f t="shared" si="0"/>
        <v>-</v>
      </c>
      <c r="V7" s="16">
        <f>IFERROR(МП_Periods!I7+МП_Periods!I15+МП_Periods!I23+МП_Periods!I31+МП_Periods!I39+МП_Periods!I47+МП_Periods!I55+МП_Periods!I63+МП_Periods!I71+МП_Periods!I79+МП_Periods!I87+МП_Periods!I95,"-")</f>
        <v>0</v>
      </c>
      <c r="W7" s="10"/>
      <c r="X7" s="15">
        <f>IFERROR(МП_Periods!K7+МП_Periods!K15+МП_Periods!K23+МП_Periods!K31+МП_Periods!K39+МП_Periods!K47+МП_Periods!K55+МП_Periods!K63+МП_Periods!K71+МП_Periods!K79+МП_Periods!K87+МП_Periods!K95,"-")</f>
        <v>0</v>
      </c>
      <c r="Y7" s="18" t="str">
        <f t="shared" si="1"/>
        <v>-</v>
      </c>
      <c r="Z7" s="17">
        <f>IFERROR(МП_Periods!M7+МП_Periods!M15+МП_Periods!M23+МП_Periods!M31+МП_Periods!M39+МП_Periods!M47+МП_Periods!M55+МП_Periods!M63+МП_Periods!M71+МП_Periods!M79+МП_Periods!M87+МП_Periods!M95,"-")</f>
        <v>0</v>
      </c>
      <c r="AA7" s="18" t="str">
        <f t="shared" si="2"/>
        <v>-</v>
      </c>
      <c r="AB7" s="15">
        <f>IFERROR(МП_Periods!O7+МП_Periods!O15+МП_Periods!O23+МП_Periods!O31+МП_Periods!O39+МП_Periods!O47+МП_Periods!O55+МП_Periods!O63+МП_Periods!O71+МП_Periods!O79+МП_Periods!O87+МП_Periods!O95,"-")</f>
        <v>0</v>
      </c>
      <c r="AC7" s="15">
        <f>IFERROR(МП_Periods!P7+МП_Periods!P15+МП_Periods!P23+МП_Periods!P31+МП_Periods!P39+МП_Periods!P47+МП_Periods!P55+МП_Periods!P63+МП_Periods!P71+МП_Periods!P79+МП_Periods!P87+МП_Periods!P95,"-")</f>
        <v>0</v>
      </c>
      <c r="AD7" s="30" t="str">
        <f t="shared" si="3"/>
        <v>-</v>
      </c>
      <c r="AE7" s="10"/>
      <c r="AF7" s="16">
        <f>IFERROR(МП_Periods!S7+МП_Periods!S15+МП_Periods!S23+МП_Periods!S31+МП_Periods!S39+МП_Periods!S47+МП_Periods!S55+МП_Periods!S63+МП_Periods!S71+МП_Periods!S79+МП_Periods!S87+МП_Periods!S95,"-")</f>
        <v>0</v>
      </c>
      <c r="AG7" s="13" t="str">
        <f t="shared" si="4"/>
        <v>-</v>
      </c>
      <c r="AH7" s="13" t="str">
        <f>IFERROR(МП_Periods!#REF!+МП_Periods!#REF!+МП_Periods!#REF!+МП_Periods!#REF!+МП_Periods!#REF!+МП_Periods!#REF!+МП_Periods!#REF!+МП_Periods!#REF!+МП_Periods!#REF!+МП_Periods!#REF!+МП_Periods!#REF!+МП_Periods!#REF!,"-")</f>
        <v>-</v>
      </c>
      <c r="AI7" s="17" t="str">
        <f t="shared" si="5"/>
        <v>-</v>
      </c>
      <c r="AJ7" s="17" t="str">
        <f t="shared" si="6"/>
        <v>-</v>
      </c>
      <c r="AK7" s="16" t="str">
        <f>IFERROR(MAX(МП_Periods!#REF!,МП_Periods!#REF!,МП_Periods!#REF!,МП_Periods!#REF!,МП_Periods!#REF!,МП_Periods!#REF!,МП_Periods!#REF!,МП_Periods!#REF!,МП_Periods!#REF!,МП_Periods!#REF!,МП_Periods!#REF!,МП_Periods!#REF!),"-")</f>
        <v>-</v>
      </c>
      <c r="AL7" s="18" t="str">
        <f t="shared" si="7"/>
        <v>-</v>
      </c>
      <c r="AM7" s="10"/>
      <c r="AN7" s="18" t="str">
        <f t="shared" si="8"/>
        <v>-</v>
      </c>
      <c r="AO7" s="16">
        <f>IFERROR(МП_Periods!W7+МП_Periods!W15+МП_Periods!W23+МП_Periods!W31+МП_Periods!W39+МП_Periods!W47+МП_Periods!W55+МП_Periods!W63+МП_Periods!W71+МП_Periods!W79+МП_Periods!W87+МП_Periods!W95,"-")</f>
        <v>0</v>
      </c>
      <c r="AP7" s="17" t="str">
        <f t="shared" si="9"/>
        <v>-</v>
      </c>
      <c r="AQ7" s="10"/>
      <c r="AR7" s="18" t="str">
        <f t="shared" si="10"/>
        <v>-</v>
      </c>
      <c r="AS7" s="16">
        <f>IFERROR(МП_Periods!AA7+МП_Periods!AA15+МП_Periods!AA23+МП_Periods!AA31+МП_Periods!AA39+МП_Periods!AA47+МП_Periods!AA55+МП_Periods!AA63+МП_Periods!AA71+МП_Periods!AA79+МП_Periods!AA87+МП_Periods!AA95,"-")</f>
        <v>0</v>
      </c>
      <c r="AT7" s="17" t="str">
        <f t="shared" si="11"/>
        <v>-</v>
      </c>
      <c r="AU7" s="10"/>
      <c r="AV7" s="18" t="str">
        <f t="shared" si="12"/>
        <v>-</v>
      </c>
      <c r="AW7" s="16">
        <f>IFERROR(МП_Periods!AE7+МП_Periods!AE15+МП_Periods!AE23+МП_Periods!AE31+МП_Periods!AE39+МП_Periods!AE47+МП_Periods!AE55+МП_Periods!AE63+МП_Periods!AE71+МП_Periods!AE79+МП_Periods!AE87+МП_Periods!AE95,"-")</f>
        <v>0</v>
      </c>
      <c r="AX7" s="17" t="str">
        <f t="shared" si="13"/>
        <v>-</v>
      </c>
      <c r="AY7" s="10"/>
      <c r="AZ7" s="18" t="str">
        <f t="shared" si="14"/>
        <v>-</v>
      </c>
      <c r="BA7" s="17" t="str">
        <f>IFERROR(AVERAGE(МП_Periods!AI7,МП_Periods!AI15,МП_Periods!AI23,МП_Periods!AI31,МП_Periods!AI39,МП_Periods!AI47,МП_Periods!AI55,МП_Periods!AI63,МП_Periods!AI71,МП_Periods!AI79,МП_Periods!AI87,МП_Periods!AI95),"-")</f>
        <v>-</v>
      </c>
      <c r="BB7" s="17" t="s">
        <v>38</v>
      </c>
      <c r="BC7" s="10"/>
      <c r="BD7" s="18" t="str">
        <f t="shared" si="15"/>
        <v>-</v>
      </c>
      <c r="BE7" s="13" t="str">
        <f t="shared" si="16"/>
        <v>-</v>
      </c>
      <c r="BF7" s="17" t="str">
        <f t="shared" si="17"/>
        <v>-</v>
      </c>
      <c r="BG7" s="18" t="str">
        <f t="shared" si="18"/>
        <v>-</v>
      </c>
      <c r="BH7" s="13" t="str">
        <f t="shared" si="19"/>
        <v>-</v>
      </c>
      <c r="BI7" s="10"/>
      <c r="BJ7" s="18" t="str">
        <f t="shared" si="20"/>
        <v>-</v>
      </c>
      <c r="BK7" s="13" t="str">
        <f t="shared" si="21"/>
        <v>-</v>
      </c>
      <c r="BL7" s="17" t="str">
        <f t="shared" si="22"/>
        <v>-</v>
      </c>
      <c r="BM7" s="10"/>
    </row>
    <row r="8" spans="1:65" ht="17.25" customHeight="1" x14ac:dyDescent="0.3">
      <c r="A8" s="21"/>
      <c r="B8" s="6" t="s">
        <v>37</v>
      </c>
      <c r="C8" s="9" t="s">
        <v>38</v>
      </c>
      <c r="D8" s="9" t="s">
        <v>38</v>
      </c>
      <c r="E8" s="21"/>
      <c r="F8" s="9" t="s">
        <v>38</v>
      </c>
      <c r="G8" s="9" t="s">
        <v>38</v>
      </c>
      <c r="H8" s="9" t="s">
        <v>38</v>
      </c>
      <c r="I8" s="9" t="s">
        <v>38</v>
      </c>
      <c r="J8" s="9" t="s">
        <v>38</v>
      </c>
      <c r="K8" s="9" t="s">
        <v>38</v>
      </c>
      <c r="L8" s="9" t="s">
        <v>38</v>
      </c>
      <c r="M8" s="9" t="s">
        <v>38</v>
      </c>
      <c r="N8" s="9" t="s">
        <v>38</v>
      </c>
      <c r="O8" s="9" t="s">
        <v>38</v>
      </c>
      <c r="P8" s="9" t="s">
        <v>38</v>
      </c>
      <c r="Q8" s="9" t="s">
        <v>38</v>
      </c>
      <c r="R8" s="21"/>
      <c r="S8" s="9" t="s">
        <v>38</v>
      </c>
      <c r="T8" s="6" t="s">
        <v>38</v>
      </c>
      <c r="U8" s="6" t="s">
        <v>38</v>
      </c>
      <c r="V8" s="6" t="s">
        <v>38</v>
      </c>
      <c r="W8" s="21"/>
      <c r="X8" s="22">
        <v>528</v>
      </c>
      <c r="Y8" s="6" t="s">
        <v>38</v>
      </c>
      <c r="Z8" s="22">
        <v>528</v>
      </c>
      <c r="AA8" s="9" t="s">
        <v>38</v>
      </c>
      <c r="AB8" s="22">
        <f>IFERROR(SUM(AB3:AB7),"-")</f>
        <v>0</v>
      </c>
      <c r="AC8" s="22">
        <f>IFERROR(AB8*1.2,"-")</f>
        <v>0</v>
      </c>
      <c r="AD8" s="23">
        <v>1</v>
      </c>
      <c r="AE8" s="21"/>
      <c r="AF8" s="24">
        <f>IFERROR(SUM(AF3:AF7),"-")</f>
        <v>0</v>
      </c>
      <c r="AG8" s="24" t="s">
        <v>38</v>
      </c>
      <c r="AH8" s="24" t="s">
        <v>38</v>
      </c>
      <c r="AI8" s="22" t="str">
        <f t="shared" si="5"/>
        <v>-</v>
      </c>
      <c r="AJ8" s="22" t="str">
        <f t="shared" si="6"/>
        <v>-</v>
      </c>
      <c r="AK8" s="6" t="s">
        <v>38</v>
      </c>
      <c r="AL8" s="6" t="s">
        <v>38</v>
      </c>
      <c r="AM8" s="21"/>
      <c r="AN8" s="23" t="str">
        <f t="shared" si="8"/>
        <v>-</v>
      </c>
      <c r="AO8" s="24">
        <f>IFERROR(SUM(AO3:AO7),"-")</f>
        <v>0</v>
      </c>
      <c r="AP8" s="22" t="str">
        <f t="shared" si="9"/>
        <v>-</v>
      </c>
      <c r="AQ8" s="21"/>
      <c r="AR8" s="23" t="str">
        <f t="shared" si="10"/>
        <v>-</v>
      </c>
      <c r="AS8" s="24">
        <v>0</v>
      </c>
      <c r="AT8" s="22" t="str">
        <f t="shared" si="11"/>
        <v>-</v>
      </c>
      <c r="AU8" s="21"/>
      <c r="AV8" s="23" t="str">
        <f t="shared" si="12"/>
        <v>-</v>
      </c>
      <c r="AW8" s="24">
        <v>0</v>
      </c>
      <c r="AX8" s="22" t="str">
        <f>IFERROR(Y8/AW8,"-")</f>
        <v>-</v>
      </c>
      <c r="AY8" s="21"/>
      <c r="AZ8" s="23" t="str">
        <f t="shared" si="14"/>
        <v>-</v>
      </c>
      <c r="BA8" s="22" t="str">
        <f>IFERROR(BB8/#REF!,"-")</f>
        <v>-</v>
      </c>
      <c r="BB8" s="22">
        <f>IFERROR(SUM(BB3:BB7),"-")</f>
        <v>0</v>
      </c>
      <c r="BC8" s="21"/>
      <c r="BD8" s="23" t="str">
        <f t="shared" si="15"/>
        <v>-</v>
      </c>
      <c r="BE8" s="24">
        <f>IFERROR(SUM(BE3:BE7),"-")</f>
        <v>0</v>
      </c>
      <c r="BF8" s="22" t="str">
        <f t="shared" si="17"/>
        <v>-</v>
      </c>
      <c r="BG8" s="23" t="str">
        <f t="shared" si="18"/>
        <v>-</v>
      </c>
      <c r="BH8" s="24">
        <f>IFERROR(SUM(BH3:BH7),"-")</f>
        <v>0</v>
      </c>
      <c r="BI8" s="21"/>
      <c r="BJ8" s="23" t="str">
        <f t="shared" si="20"/>
        <v>-</v>
      </c>
      <c r="BK8" s="24">
        <f>IFERROR(SUM(BK3:BK7),"-")</f>
        <v>0</v>
      </c>
      <c r="BL8" s="22" t="str">
        <f t="shared" si="22"/>
        <v>-</v>
      </c>
      <c r="BM8" s="21"/>
    </row>
    <row r="9" spans="1:65" ht="13.8" x14ac:dyDescent="0.3">
      <c r="A9" s="25"/>
      <c r="B9" s="26"/>
      <c r="C9" s="26"/>
      <c r="D9" s="26"/>
      <c r="E9" s="25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5"/>
      <c r="S9" s="26"/>
      <c r="T9" s="26"/>
      <c r="U9" s="26"/>
      <c r="V9" s="26"/>
      <c r="W9" s="25"/>
      <c r="X9" s="26"/>
      <c r="Y9" s="26"/>
      <c r="Z9" s="26"/>
      <c r="AA9" s="26"/>
      <c r="AB9" s="26"/>
      <c r="AC9" s="26"/>
      <c r="AD9" s="26"/>
      <c r="AE9" s="25"/>
      <c r="AF9" s="26"/>
      <c r="AG9" s="26"/>
      <c r="AH9" s="26"/>
      <c r="AI9" s="26"/>
      <c r="AJ9" s="26"/>
      <c r="AK9" s="26"/>
      <c r="AL9" s="26"/>
      <c r="AM9" s="25"/>
      <c r="AN9" s="26"/>
      <c r="AO9" s="26"/>
      <c r="AP9" s="26"/>
      <c r="AQ9" s="25"/>
      <c r="AR9" s="27"/>
      <c r="AS9" s="27"/>
      <c r="AT9" s="27"/>
      <c r="AU9" s="25"/>
      <c r="AV9" s="27"/>
      <c r="AW9" s="27"/>
      <c r="AX9" s="27"/>
      <c r="AY9" s="25"/>
      <c r="AZ9" s="27"/>
      <c r="BA9" s="27"/>
      <c r="BB9" s="27"/>
      <c r="BC9" s="25"/>
      <c r="BD9" s="26"/>
      <c r="BE9" s="26"/>
      <c r="BF9" s="26"/>
      <c r="BG9" s="26"/>
      <c r="BH9" s="26"/>
      <c r="BI9" s="25"/>
      <c r="BJ9" s="26"/>
      <c r="BK9" s="26"/>
      <c r="BL9" s="26"/>
      <c r="BM9" s="25"/>
    </row>
    <row r="10" spans="1:65" ht="17.25" customHeight="1" x14ac:dyDescent="0.3">
      <c r="A10" s="25"/>
      <c r="B10" s="12" t="s">
        <v>39</v>
      </c>
      <c r="C10" s="17">
        <f>IFERROR(Z8,"-")</f>
        <v>528</v>
      </c>
      <c r="D10" s="26"/>
      <c r="E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5"/>
      <c r="S10" s="26"/>
      <c r="T10" s="26"/>
      <c r="U10" s="26"/>
      <c r="V10" s="26"/>
      <c r="W10" s="25"/>
      <c r="X10" s="26"/>
      <c r="Y10" s="26"/>
      <c r="Z10" s="26"/>
      <c r="AA10" s="26"/>
      <c r="AB10" s="26"/>
      <c r="AC10" s="26"/>
      <c r="AD10" s="26"/>
      <c r="AE10" s="25"/>
      <c r="AF10" s="26"/>
      <c r="AG10" s="26"/>
      <c r="AH10" s="26"/>
      <c r="AI10" s="26"/>
      <c r="AJ10" s="26"/>
      <c r="AK10" s="26"/>
      <c r="AL10" s="26"/>
      <c r="AM10" s="25"/>
      <c r="AN10" s="26"/>
      <c r="AO10" s="26"/>
      <c r="AP10" s="26"/>
      <c r="AQ10" s="25"/>
      <c r="AR10" s="26"/>
      <c r="AS10" s="26"/>
      <c r="AT10" s="26"/>
      <c r="AU10" s="25"/>
      <c r="AV10" s="26"/>
      <c r="AW10" s="26"/>
      <c r="AX10" s="26"/>
      <c r="AY10" s="25"/>
      <c r="AZ10" s="26"/>
      <c r="BA10" s="26"/>
      <c r="BB10" s="26"/>
      <c r="BC10" s="25"/>
      <c r="BD10" s="26"/>
      <c r="BE10" s="26"/>
      <c r="BF10" s="26"/>
      <c r="BG10" s="26"/>
      <c r="BH10" s="26"/>
      <c r="BI10" s="25"/>
      <c r="BJ10" s="26"/>
      <c r="BK10" s="26"/>
      <c r="BL10" s="26"/>
      <c r="BM10" s="25"/>
    </row>
    <row r="11" spans="1:65" ht="17.25" customHeight="1" x14ac:dyDescent="0.3">
      <c r="A11" s="25"/>
      <c r="B11" s="12" t="s">
        <v>40</v>
      </c>
      <c r="C11" s="17">
        <f>IFERROR((AB8-Z8),"-")</f>
        <v>-528</v>
      </c>
      <c r="D11" s="26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5"/>
      <c r="S11" s="26"/>
      <c r="T11" s="26"/>
      <c r="U11" s="26"/>
      <c r="V11" s="26"/>
      <c r="W11" s="25"/>
      <c r="X11" s="26"/>
      <c r="Y11" s="26"/>
      <c r="Z11" s="26"/>
      <c r="AA11" s="26"/>
      <c r="AB11" s="26"/>
      <c r="AC11" s="26"/>
      <c r="AD11" s="26"/>
      <c r="AE11" s="25"/>
      <c r="AF11" s="26"/>
      <c r="AG11" s="26"/>
      <c r="AH11" s="26"/>
      <c r="AI11" s="26"/>
      <c r="AJ11" s="26"/>
      <c r="AK11" s="26"/>
      <c r="AL11" s="26"/>
      <c r="AM11" s="25"/>
      <c r="AN11" s="26"/>
      <c r="AO11" s="26"/>
      <c r="AP11" s="26"/>
      <c r="AQ11" s="25"/>
      <c r="AR11" s="26"/>
      <c r="AS11" s="26"/>
      <c r="AT11" s="26"/>
      <c r="AU11" s="25"/>
      <c r="AV11" s="26"/>
      <c r="AW11" s="26"/>
      <c r="AX11" s="26"/>
      <c r="AY11" s="25"/>
      <c r="AZ11" s="26"/>
      <c r="BA11" s="26"/>
      <c r="BB11" s="26"/>
      <c r="BC11" s="25"/>
      <c r="BD11" s="26"/>
      <c r="BE11" s="26"/>
      <c r="BF11" s="26"/>
      <c r="BG11" s="26"/>
      <c r="BH11" s="26"/>
      <c r="BI11" s="25"/>
      <c r="BJ11" s="26"/>
      <c r="BK11" s="26"/>
      <c r="BL11" s="26"/>
      <c r="BM11" s="25"/>
    </row>
    <row r="12" spans="1:65" ht="17.25" customHeight="1" x14ac:dyDescent="0.3">
      <c r="A12" s="25"/>
      <c r="B12" s="12" t="s">
        <v>41</v>
      </c>
      <c r="C12" s="17">
        <f>IFERROR(SUM(C10:C11),"-")</f>
        <v>0</v>
      </c>
      <c r="D12" s="26"/>
      <c r="E12" s="25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5"/>
      <c r="S12" s="26"/>
      <c r="T12" s="26"/>
      <c r="U12" s="26"/>
      <c r="V12" s="26"/>
      <c r="W12" s="25"/>
      <c r="X12" s="26"/>
      <c r="Y12" s="26"/>
      <c r="Z12" s="26"/>
      <c r="AA12" s="26"/>
      <c r="AB12" s="26"/>
      <c r="AC12" s="26"/>
      <c r="AD12" s="26"/>
      <c r="AE12" s="25"/>
      <c r="AF12" s="26"/>
      <c r="AG12" s="26"/>
      <c r="AH12" s="26"/>
      <c r="AI12" s="26"/>
      <c r="AJ12" s="26"/>
      <c r="AK12" s="26"/>
      <c r="AL12" s="26"/>
      <c r="AM12" s="25"/>
      <c r="AN12" s="26"/>
      <c r="AO12" s="26"/>
      <c r="AP12" s="26"/>
      <c r="AQ12" s="25"/>
      <c r="AR12" s="26"/>
      <c r="AS12" s="26"/>
      <c r="AT12" s="26"/>
      <c r="AU12" s="25"/>
      <c r="AV12" s="26"/>
      <c r="AW12" s="26"/>
      <c r="AX12" s="26"/>
      <c r="AY12" s="25"/>
      <c r="AZ12" s="26"/>
      <c r="BA12" s="26"/>
      <c r="BB12" s="26"/>
      <c r="BC12" s="25"/>
      <c r="BD12" s="26"/>
      <c r="BE12" s="26"/>
      <c r="BF12" s="26"/>
      <c r="BG12" s="26"/>
      <c r="BH12" s="26"/>
      <c r="BI12" s="25"/>
      <c r="BJ12" s="26"/>
      <c r="BK12" s="26"/>
      <c r="BL12" s="26"/>
      <c r="BM12" s="25"/>
    </row>
    <row r="13" spans="1:65" ht="17.25" customHeight="1" x14ac:dyDescent="0.3">
      <c r="A13" s="25"/>
      <c r="B13" s="12" t="s">
        <v>42</v>
      </c>
      <c r="C13" s="17">
        <f>IFERROR((AC8-AB8),"-")</f>
        <v>0</v>
      </c>
      <c r="D13" s="26"/>
      <c r="E13" s="25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5"/>
      <c r="S13" s="26"/>
      <c r="T13" s="26"/>
      <c r="U13" s="26"/>
      <c r="V13" s="26"/>
      <c r="W13" s="25"/>
      <c r="X13" s="26"/>
      <c r="Y13" s="26"/>
      <c r="Z13" s="26"/>
      <c r="AA13" s="26"/>
      <c r="AB13" s="26"/>
      <c r="AC13" s="26"/>
      <c r="AD13" s="26"/>
      <c r="AE13" s="25"/>
      <c r="AF13" s="26"/>
      <c r="AG13" s="26"/>
      <c r="AH13" s="26"/>
      <c r="AI13" s="26"/>
      <c r="AJ13" s="26"/>
      <c r="AK13" s="26"/>
      <c r="AL13" s="26"/>
      <c r="AM13" s="25"/>
      <c r="AN13" s="26"/>
      <c r="AO13" s="26"/>
      <c r="AP13" s="26"/>
      <c r="AQ13" s="25"/>
      <c r="AR13" s="26"/>
      <c r="AS13" s="26"/>
      <c r="AT13" s="26"/>
      <c r="AU13" s="25"/>
      <c r="AV13" s="26"/>
      <c r="AW13" s="26"/>
      <c r="AX13" s="26"/>
      <c r="AY13" s="25"/>
      <c r="AZ13" s="26"/>
      <c r="BA13" s="26"/>
      <c r="BB13" s="26"/>
      <c r="BC13" s="25"/>
      <c r="BD13" s="26"/>
      <c r="BE13" s="26"/>
      <c r="BF13" s="26"/>
      <c r="BG13" s="26"/>
      <c r="BH13" s="26"/>
      <c r="BI13" s="25"/>
      <c r="BJ13" s="26"/>
      <c r="BK13" s="26"/>
      <c r="BL13" s="26"/>
      <c r="BM13" s="25"/>
    </row>
    <row r="14" spans="1:65" ht="17.25" customHeight="1" x14ac:dyDescent="0.3">
      <c r="A14" s="25"/>
      <c r="B14" s="12" t="s">
        <v>43</v>
      </c>
      <c r="C14" s="17">
        <f>IFERROR(SUM(C12:C13),"-")</f>
        <v>0</v>
      </c>
      <c r="D14" s="26"/>
      <c r="E14" s="25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5"/>
      <c r="S14" s="26"/>
      <c r="T14" s="26"/>
      <c r="U14" s="26"/>
      <c r="V14" s="26"/>
      <c r="W14" s="25"/>
      <c r="X14" s="26"/>
      <c r="Y14" s="26"/>
      <c r="Z14" s="26"/>
      <c r="AA14" s="26"/>
      <c r="AB14" s="26"/>
      <c r="AC14" s="26"/>
      <c r="AD14" s="26"/>
      <c r="AE14" s="25"/>
      <c r="AF14" s="26"/>
      <c r="AG14" s="26"/>
      <c r="AH14" s="26"/>
      <c r="AI14" s="26"/>
      <c r="AJ14" s="26"/>
      <c r="AK14" s="26"/>
      <c r="AL14" s="26"/>
      <c r="AM14" s="25"/>
      <c r="AN14" s="26"/>
      <c r="AO14" s="26"/>
      <c r="AP14" s="26"/>
      <c r="AQ14" s="25"/>
      <c r="AR14" s="26"/>
      <c r="AS14" s="26"/>
      <c r="AT14" s="26"/>
      <c r="AU14" s="25"/>
      <c r="AV14" s="26"/>
      <c r="AW14" s="26"/>
      <c r="AX14" s="26"/>
      <c r="AY14" s="25"/>
      <c r="AZ14" s="26"/>
      <c r="BA14" s="26"/>
      <c r="BB14" s="26"/>
      <c r="BC14" s="25"/>
      <c r="BD14" s="26"/>
      <c r="BE14" s="26"/>
      <c r="BF14" s="26"/>
      <c r="BG14" s="26"/>
      <c r="BH14" s="26"/>
      <c r="BI14" s="25"/>
      <c r="BJ14" s="26"/>
      <c r="BK14" s="26"/>
      <c r="BL14" s="26"/>
      <c r="BM14" s="25"/>
    </row>
    <row r="15" spans="1:65" ht="17.25" customHeight="1" x14ac:dyDescent="0.3">
      <c r="A15" s="25"/>
      <c r="B15" s="12" t="s">
        <v>44</v>
      </c>
      <c r="C15" s="17">
        <v>0</v>
      </c>
      <c r="D15" s="26"/>
      <c r="E15" s="25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5"/>
      <c r="S15" s="26"/>
      <c r="T15" s="26"/>
      <c r="U15" s="26"/>
      <c r="V15" s="26"/>
      <c r="W15" s="25"/>
      <c r="X15" s="26"/>
      <c r="Y15" s="26"/>
      <c r="Z15" s="26"/>
      <c r="AA15" s="26"/>
      <c r="AB15" s="26"/>
      <c r="AC15" s="26"/>
      <c r="AD15" s="26"/>
      <c r="AE15" s="25"/>
      <c r="AF15" s="26"/>
      <c r="AG15" s="26"/>
      <c r="AH15" s="26"/>
      <c r="AI15" s="26"/>
      <c r="AJ15" s="26"/>
      <c r="AK15" s="26"/>
      <c r="AL15" s="26"/>
      <c r="AM15" s="25"/>
      <c r="AN15" s="26"/>
      <c r="AO15" s="26"/>
      <c r="AP15" s="26"/>
      <c r="AQ15" s="25"/>
      <c r="AR15" s="26"/>
      <c r="AS15" s="26"/>
      <c r="AT15" s="26"/>
      <c r="AU15" s="25"/>
      <c r="AV15" s="26"/>
      <c r="AW15" s="26"/>
      <c r="AX15" s="26"/>
      <c r="AY15" s="25"/>
      <c r="AZ15" s="26"/>
      <c r="BA15" s="26"/>
      <c r="BB15" s="26"/>
      <c r="BC15" s="25"/>
      <c r="BD15" s="26"/>
      <c r="BE15" s="26"/>
      <c r="BF15" s="26"/>
      <c r="BG15" s="26"/>
      <c r="BH15" s="26"/>
      <c r="BI15" s="25"/>
      <c r="BJ15" s="26"/>
      <c r="BK15" s="26"/>
      <c r="BL15" s="26"/>
      <c r="BM15" s="25"/>
    </row>
    <row r="16" spans="1:65" ht="17.25" customHeight="1" x14ac:dyDescent="0.3">
      <c r="A16" s="25"/>
      <c r="B16" s="12" t="s">
        <v>45</v>
      </c>
      <c r="C16" s="17">
        <v>0</v>
      </c>
      <c r="D16" s="26"/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5"/>
      <c r="S16" s="26"/>
      <c r="T16" s="26"/>
      <c r="U16" s="26"/>
      <c r="V16" s="26"/>
      <c r="W16" s="25"/>
      <c r="X16" s="26"/>
      <c r="Y16" s="26"/>
      <c r="Z16" s="26"/>
      <c r="AA16" s="26"/>
      <c r="AB16" s="26"/>
      <c r="AC16" s="26"/>
      <c r="AD16" s="26"/>
      <c r="AE16" s="25"/>
      <c r="AF16" s="26"/>
      <c r="AG16" s="26"/>
      <c r="AH16" s="26"/>
      <c r="AI16" s="26"/>
      <c r="AJ16" s="26"/>
      <c r="AK16" s="26"/>
      <c r="AL16" s="26"/>
      <c r="AM16" s="25"/>
      <c r="AN16" s="26"/>
      <c r="AO16" s="26"/>
      <c r="AP16" s="26"/>
      <c r="AQ16" s="25"/>
      <c r="AR16" s="26"/>
      <c r="AS16" s="26"/>
      <c r="AT16" s="26"/>
      <c r="AU16" s="25"/>
      <c r="AV16" s="26"/>
      <c r="AW16" s="26"/>
      <c r="AX16" s="26"/>
      <c r="AY16" s="25"/>
      <c r="AZ16" s="26"/>
      <c r="BA16" s="26"/>
      <c r="BB16" s="26"/>
      <c r="BC16" s="25"/>
      <c r="BD16" s="26"/>
      <c r="BE16" s="26"/>
      <c r="BF16" s="26"/>
      <c r="BG16" s="26"/>
      <c r="BH16" s="26"/>
      <c r="BI16" s="25"/>
      <c r="BJ16" s="26"/>
      <c r="BK16" s="26"/>
      <c r="BL16" s="26"/>
      <c r="BM16" s="25"/>
    </row>
    <row r="17" spans="1:65" ht="17.25" customHeight="1" x14ac:dyDescent="0.3">
      <c r="A17" s="31"/>
      <c r="B17" s="6" t="s">
        <v>46</v>
      </c>
      <c r="C17" s="22">
        <f>IFERROR(SUM(C14:C16),"-")</f>
        <v>0</v>
      </c>
      <c r="D17" s="32"/>
      <c r="E17" s="31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1"/>
      <c r="S17" s="32"/>
      <c r="T17" s="32"/>
      <c r="U17" s="32"/>
      <c r="V17" s="32"/>
      <c r="W17" s="31"/>
      <c r="X17" s="32"/>
      <c r="Y17" s="32"/>
      <c r="Z17" s="32"/>
      <c r="AA17" s="32"/>
      <c r="AB17" s="32"/>
      <c r="AC17" s="32"/>
      <c r="AD17" s="32"/>
      <c r="AE17" s="31"/>
      <c r="AF17" s="32"/>
      <c r="AG17" s="32"/>
      <c r="AH17" s="32"/>
      <c r="AI17" s="32"/>
      <c r="AJ17" s="32"/>
      <c r="AK17" s="32"/>
      <c r="AL17" s="32"/>
      <c r="AM17" s="31"/>
      <c r="AN17" s="32"/>
      <c r="AO17" s="32"/>
      <c r="AP17" s="32"/>
      <c r="AQ17" s="31"/>
      <c r="AR17" s="32"/>
      <c r="AS17" s="32"/>
      <c r="AT17" s="32"/>
      <c r="AU17" s="31"/>
      <c r="AV17" s="32"/>
      <c r="AW17" s="32"/>
      <c r="AX17" s="32"/>
      <c r="AY17" s="31"/>
      <c r="AZ17" s="32"/>
      <c r="BA17" s="32"/>
      <c r="BB17" s="32"/>
      <c r="BC17" s="31"/>
      <c r="BD17" s="32"/>
      <c r="BE17" s="32"/>
      <c r="BF17" s="32"/>
      <c r="BG17" s="32"/>
      <c r="BH17" s="32"/>
      <c r="BI17" s="31"/>
      <c r="BJ17" s="32"/>
      <c r="BK17" s="32"/>
      <c r="BL17" s="32"/>
      <c r="BM17" s="31"/>
    </row>
    <row r="18" spans="1:65" ht="11.25" customHeight="1" x14ac:dyDescent="0.3">
      <c r="A18" s="25"/>
      <c r="B18" s="26"/>
      <c r="C18" s="26"/>
      <c r="D18" s="26"/>
      <c r="E18" s="25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5"/>
      <c r="S18" s="26"/>
      <c r="T18" s="26"/>
      <c r="U18" s="26"/>
      <c r="V18" s="26"/>
      <c r="W18" s="25"/>
      <c r="X18" s="26"/>
      <c r="Y18" s="26"/>
      <c r="Z18" s="26"/>
      <c r="AA18" s="26"/>
      <c r="AB18" s="26"/>
      <c r="AC18" s="26"/>
      <c r="AD18" s="26"/>
      <c r="AE18" s="25"/>
      <c r="AF18" s="26"/>
      <c r="AG18" s="26"/>
      <c r="AH18" s="26"/>
      <c r="AI18" s="26"/>
      <c r="AJ18" s="26"/>
      <c r="AK18" s="26"/>
      <c r="AL18" s="26"/>
      <c r="AM18" s="25"/>
      <c r="AN18" s="26"/>
      <c r="AO18" s="26"/>
      <c r="AP18" s="26"/>
      <c r="AQ18" s="25"/>
      <c r="AR18" s="27"/>
      <c r="AS18" s="27"/>
      <c r="AT18" s="27"/>
      <c r="AU18" s="25"/>
      <c r="AV18" s="27"/>
      <c r="AW18" s="27"/>
      <c r="AX18" s="27"/>
      <c r="AY18" s="25"/>
      <c r="AZ18" s="27"/>
      <c r="BA18" s="27"/>
      <c r="BB18" s="27"/>
      <c r="BC18" s="25"/>
      <c r="BD18" s="26"/>
      <c r="BE18" s="26"/>
      <c r="BF18" s="26"/>
      <c r="BG18" s="26"/>
      <c r="BH18" s="26"/>
      <c r="BI18" s="25"/>
      <c r="BJ18" s="26"/>
      <c r="BK18" s="26"/>
      <c r="BL18" s="26"/>
      <c r="BM18" s="25"/>
    </row>
    <row r="19" spans="1:65" ht="15.75" customHeight="1" x14ac:dyDescent="0.3">
      <c r="A19" s="25"/>
      <c r="B19" s="26"/>
      <c r="C19" s="26"/>
      <c r="D19" s="26"/>
      <c r="E19" s="25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5"/>
      <c r="S19" s="26"/>
      <c r="T19" s="26"/>
      <c r="U19" s="26"/>
      <c r="V19" s="26"/>
      <c r="W19" s="25"/>
      <c r="X19" s="26"/>
      <c r="Y19" s="26"/>
      <c r="Z19" s="26"/>
      <c r="AA19" s="26"/>
      <c r="AB19" s="26"/>
      <c r="AC19" s="26"/>
      <c r="AD19" s="26"/>
      <c r="AE19" s="25"/>
      <c r="AF19" s="26"/>
      <c r="AG19" s="26"/>
      <c r="AH19" s="26"/>
      <c r="AI19" s="26"/>
      <c r="AJ19" s="26"/>
      <c r="AK19" s="26"/>
      <c r="AL19" s="26"/>
      <c r="AM19" s="25"/>
      <c r="AN19" s="26"/>
      <c r="AO19" s="26"/>
      <c r="AP19" s="26"/>
      <c r="AQ19" s="25"/>
      <c r="AR19" s="26"/>
      <c r="AS19" s="26"/>
      <c r="AT19" s="26"/>
      <c r="AU19" s="25"/>
      <c r="AV19" s="26"/>
      <c r="AW19" s="26"/>
      <c r="AX19" s="26"/>
      <c r="AY19" s="25"/>
      <c r="AZ19" s="26"/>
      <c r="BA19" s="26"/>
      <c r="BB19" s="26"/>
      <c r="BC19" s="25"/>
      <c r="BD19" s="26"/>
      <c r="BE19" s="26"/>
      <c r="BF19" s="26"/>
      <c r="BG19" s="26"/>
      <c r="BH19" s="26"/>
      <c r="BI19" s="25"/>
      <c r="BJ19" s="26"/>
      <c r="BK19" s="26"/>
      <c r="BL19" s="26"/>
      <c r="BM19" s="25"/>
    </row>
    <row r="20" spans="1:65" ht="15.75" customHeight="1" x14ac:dyDescent="0.3">
      <c r="A20" s="25"/>
      <c r="B20" s="26"/>
      <c r="C20" s="26"/>
      <c r="D20" s="26"/>
      <c r="E20" s="25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5"/>
      <c r="S20" s="26"/>
      <c r="T20" s="26"/>
      <c r="U20" s="26"/>
      <c r="V20" s="26"/>
      <c r="W20" s="25"/>
      <c r="X20" s="26"/>
      <c r="Y20" s="26"/>
      <c r="Z20" s="26"/>
      <c r="AA20" s="26"/>
      <c r="AB20" s="26"/>
      <c r="AC20" s="26"/>
      <c r="AD20" s="26"/>
      <c r="AE20" s="25"/>
      <c r="AF20" s="26"/>
      <c r="AG20" s="26"/>
      <c r="AH20" s="26"/>
      <c r="AI20" s="26"/>
      <c r="AJ20" s="26"/>
      <c r="AK20" s="26"/>
      <c r="AL20" s="26"/>
      <c r="AM20" s="25"/>
      <c r="AN20" s="26"/>
      <c r="AO20" s="26"/>
      <c r="AP20" s="26"/>
      <c r="AQ20" s="25"/>
      <c r="AR20" s="26"/>
      <c r="AS20" s="26"/>
      <c r="AT20" s="26"/>
      <c r="AU20" s="25"/>
      <c r="AV20" s="26"/>
      <c r="AW20" s="26"/>
      <c r="AX20" s="26"/>
      <c r="AY20" s="25"/>
      <c r="AZ20" s="26"/>
      <c r="BA20" s="26"/>
      <c r="BB20" s="26"/>
      <c r="BC20" s="25"/>
      <c r="BD20" s="26"/>
      <c r="BE20" s="26"/>
      <c r="BF20" s="26"/>
      <c r="BG20" s="26"/>
      <c r="BH20" s="26"/>
      <c r="BI20" s="25"/>
      <c r="BJ20" s="26"/>
      <c r="BK20" s="26"/>
      <c r="BL20" s="26"/>
      <c r="BM20" s="25"/>
    </row>
    <row r="21" spans="1:65" ht="15.75" customHeight="1" x14ac:dyDescent="0.3">
      <c r="A21" s="25"/>
      <c r="B21" s="26"/>
      <c r="C21" s="26"/>
      <c r="D21" s="26"/>
      <c r="E21" s="25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5"/>
      <c r="S21" s="26"/>
      <c r="T21" s="26"/>
      <c r="U21" s="26"/>
      <c r="V21" s="26"/>
      <c r="W21" s="25"/>
      <c r="X21" s="26"/>
      <c r="Y21" s="26"/>
      <c r="Z21" s="26"/>
      <c r="AA21" s="26"/>
      <c r="AB21" s="26"/>
      <c r="AC21" s="26"/>
      <c r="AD21" s="26"/>
      <c r="AE21" s="25"/>
      <c r="AF21" s="26"/>
      <c r="AG21" s="26"/>
      <c r="AH21" s="26"/>
      <c r="AI21" s="26"/>
      <c r="AJ21" s="26"/>
      <c r="AK21" s="26"/>
      <c r="AL21" s="26"/>
      <c r="AM21" s="25"/>
      <c r="AN21" s="26"/>
      <c r="AO21" s="26"/>
      <c r="AP21" s="26"/>
      <c r="AQ21" s="25"/>
      <c r="AR21" s="26"/>
      <c r="AS21" s="26"/>
      <c r="AT21" s="26"/>
      <c r="AU21" s="25"/>
      <c r="AV21" s="26"/>
      <c r="AW21" s="26"/>
      <c r="AX21" s="26"/>
      <c r="AY21" s="25"/>
      <c r="AZ21" s="26"/>
      <c r="BA21" s="26"/>
      <c r="BB21" s="26"/>
      <c r="BC21" s="25"/>
      <c r="BD21" s="26"/>
      <c r="BE21" s="26"/>
      <c r="BF21" s="26"/>
      <c r="BG21" s="26"/>
      <c r="BH21" s="26"/>
      <c r="BI21" s="25"/>
      <c r="BJ21" s="26"/>
      <c r="BK21" s="26"/>
      <c r="BL21" s="26"/>
      <c r="BM21" s="25"/>
    </row>
    <row r="22" spans="1:65" ht="15.75" customHeight="1" x14ac:dyDescent="0.3">
      <c r="A22" s="25"/>
      <c r="B22" s="26"/>
      <c r="C22" s="26"/>
      <c r="D22" s="26"/>
      <c r="E22" s="25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5"/>
      <c r="S22" s="26"/>
      <c r="T22" s="26"/>
      <c r="U22" s="26"/>
      <c r="V22" s="26"/>
      <c r="W22" s="25"/>
      <c r="X22" s="26"/>
      <c r="Y22" s="26"/>
      <c r="Z22" s="26"/>
      <c r="AA22" s="26"/>
      <c r="AB22" s="26"/>
      <c r="AC22" s="26"/>
      <c r="AD22" s="26"/>
      <c r="AE22" s="25"/>
      <c r="AF22" s="26"/>
      <c r="AG22" s="26"/>
      <c r="AH22" s="26"/>
      <c r="AI22" s="26"/>
      <c r="AJ22" s="26"/>
      <c r="AK22" s="26"/>
      <c r="AL22" s="26"/>
      <c r="AM22" s="25"/>
      <c r="AN22" s="26"/>
      <c r="AO22" s="26"/>
      <c r="AP22" s="26"/>
      <c r="AQ22" s="25"/>
      <c r="AR22" s="26"/>
      <c r="AS22" s="26"/>
      <c r="AT22" s="26"/>
      <c r="AU22" s="25"/>
      <c r="AV22" s="26"/>
      <c r="AW22" s="26"/>
      <c r="AX22" s="26"/>
      <c r="AY22" s="25"/>
      <c r="AZ22" s="26"/>
      <c r="BA22" s="26"/>
      <c r="BB22" s="26"/>
      <c r="BC22" s="25"/>
      <c r="BD22" s="26"/>
      <c r="BE22" s="26"/>
      <c r="BF22" s="26"/>
      <c r="BG22" s="26"/>
      <c r="BH22" s="26"/>
      <c r="BI22" s="25"/>
      <c r="BJ22" s="26"/>
      <c r="BK22" s="26"/>
      <c r="BL22" s="26"/>
      <c r="BM22" s="25"/>
    </row>
    <row r="23" spans="1:65" ht="15.75" customHeight="1" x14ac:dyDescent="0.3">
      <c r="A23" s="25"/>
      <c r="B23" s="26"/>
      <c r="C23" s="26"/>
      <c r="D23" s="26"/>
      <c r="E23" s="25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5"/>
      <c r="S23" s="26"/>
      <c r="T23" s="26"/>
      <c r="U23" s="26"/>
      <c r="V23" s="26"/>
      <c r="W23" s="25"/>
      <c r="X23" s="26"/>
      <c r="Y23" s="26"/>
      <c r="Z23" s="26"/>
      <c r="AA23" s="26"/>
      <c r="AB23" s="26"/>
      <c r="AC23" s="26"/>
      <c r="AD23" s="26"/>
      <c r="AE23" s="25"/>
      <c r="AF23" s="26"/>
      <c r="AG23" s="26"/>
      <c r="AH23" s="26"/>
      <c r="AI23" s="26"/>
      <c r="AJ23" s="26"/>
      <c r="AK23" s="26"/>
      <c r="AL23" s="26"/>
      <c r="AM23" s="25"/>
      <c r="AN23" s="26"/>
      <c r="AO23" s="26"/>
      <c r="AP23" s="26"/>
      <c r="AQ23" s="25"/>
      <c r="AR23" s="26"/>
      <c r="AS23" s="26"/>
      <c r="AT23" s="26"/>
      <c r="AU23" s="25"/>
      <c r="AV23" s="26"/>
      <c r="AW23" s="26"/>
      <c r="AX23" s="26"/>
      <c r="AY23" s="25"/>
      <c r="AZ23" s="26"/>
      <c r="BA23" s="26"/>
      <c r="BB23" s="26"/>
      <c r="BC23" s="25"/>
      <c r="BD23" s="26"/>
      <c r="BE23" s="26"/>
      <c r="BF23" s="26"/>
      <c r="BG23" s="26"/>
      <c r="BH23" s="26"/>
      <c r="BI23" s="25"/>
      <c r="BJ23" s="26"/>
      <c r="BK23" s="26"/>
      <c r="BL23" s="26"/>
      <c r="BM23" s="25"/>
    </row>
    <row r="24" spans="1:65" ht="15.75" customHeight="1" x14ac:dyDescent="0.3">
      <c r="A24" s="25"/>
      <c r="B24" s="26"/>
      <c r="C24" s="26"/>
      <c r="D24" s="26"/>
      <c r="E24" s="25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5"/>
      <c r="S24" s="26"/>
      <c r="T24" s="26"/>
      <c r="U24" s="26"/>
      <c r="V24" s="26"/>
      <c r="W24" s="25"/>
      <c r="X24" s="26"/>
      <c r="Y24" s="26"/>
      <c r="Z24" s="26"/>
      <c r="AA24" s="26"/>
      <c r="AB24" s="26"/>
      <c r="AC24" s="26"/>
      <c r="AD24" s="26"/>
      <c r="AE24" s="25"/>
      <c r="AF24" s="26"/>
      <c r="AG24" s="26"/>
      <c r="AH24" s="26"/>
      <c r="AI24" s="26"/>
      <c r="AJ24" s="26"/>
      <c r="AK24" s="26"/>
      <c r="AL24" s="26"/>
      <c r="AM24" s="25"/>
      <c r="AN24" s="26"/>
      <c r="AO24" s="26"/>
      <c r="AP24" s="26"/>
      <c r="AQ24" s="25"/>
      <c r="AR24" s="26"/>
      <c r="AS24" s="26"/>
      <c r="AT24" s="26"/>
      <c r="AU24" s="25"/>
      <c r="AV24" s="26"/>
      <c r="AW24" s="26"/>
      <c r="AX24" s="26"/>
      <c r="AY24" s="25"/>
      <c r="AZ24" s="26"/>
      <c r="BA24" s="26"/>
      <c r="BB24" s="26"/>
      <c r="BC24" s="25"/>
      <c r="BD24" s="26"/>
      <c r="BE24" s="26"/>
      <c r="BF24" s="26"/>
      <c r="BG24" s="26"/>
      <c r="BH24" s="26"/>
      <c r="BI24" s="25"/>
      <c r="BJ24" s="26"/>
      <c r="BK24" s="26"/>
      <c r="BL24" s="26"/>
      <c r="BM24" s="25"/>
    </row>
    <row r="25" spans="1:65" ht="15.75" customHeight="1" x14ac:dyDescent="0.3">
      <c r="A25" s="25"/>
      <c r="B25" s="26"/>
      <c r="C25" s="26"/>
      <c r="D25" s="26"/>
      <c r="E25" s="25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5"/>
      <c r="S25" s="26"/>
      <c r="T25" s="26"/>
      <c r="U25" s="26"/>
      <c r="V25" s="26"/>
      <c r="W25" s="25"/>
      <c r="X25" s="26"/>
      <c r="Y25" s="26"/>
      <c r="Z25" s="26"/>
      <c r="AA25" s="26"/>
      <c r="AB25" s="26"/>
      <c r="AC25" s="26"/>
      <c r="AD25" s="26"/>
      <c r="AE25" s="25"/>
      <c r="AF25" s="26"/>
      <c r="AG25" s="26"/>
      <c r="AH25" s="26"/>
      <c r="AI25" s="26"/>
      <c r="AJ25" s="26"/>
      <c r="AK25" s="26"/>
      <c r="AL25" s="26"/>
      <c r="AM25" s="25"/>
      <c r="AN25" s="26"/>
      <c r="AO25" s="26"/>
      <c r="AP25" s="26"/>
      <c r="AQ25" s="25"/>
      <c r="AR25" s="26"/>
      <c r="AS25" s="26"/>
      <c r="AT25" s="26"/>
      <c r="AU25" s="25"/>
      <c r="AV25" s="26"/>
      <c r="AW25" s="26"/>
      <c r="AX25" s="26"/>
      <c r="AY25" s="25"/>
      <c r="AZ25" s="26"/>
      <c r="BA25" s="26"/>
      <c r="BB25" s="26"/>
      <c r="BC25" s="25"/>
      <c r="BD25" s="26"/>
      <c r="BE25" s="26"/>
      <c r="BF25" s="26"/>
      <c r="BG25" s="26"/>
      <c r="BH25" s="26"/>
      <c r="BI25" s="25"/>
      <c r="BJ25" s="26"/>
      <c r="BK25" s="26"/>
      <c r="BL25" s="26"/>
      <c r="BM25" s="25"/>
    </row>
    <row r="26" spans="1:65" ht="15.75" customHeight="1" x14ac:dyDescent="0.3">
      <c r="A26" s="25"/>
      <c r="B26" s="26"/>
      <c r="C26" s="26"/>
      <c r="D26" s="26"/>
      <c r="E26" s="25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5"/>
      <c r="S26" s="26"/>
      <c r="T26" s="26"/>
      <c r="U26" s="26"/>
      <c r="V26" s="26"/>
      <c r="W26" s="25"/>
      <c r="X26" s="26"/>
      <c r="Y26" s="26"/>
      <c r="Z26" s="26"/>
      <c r="AA26" s="26"/>
      <c r="AB26" s="26"/>
      <c r="AC26" s="26"/>
      <c r="AD26" s="26"/>
      <c r="AE26" s="25"/>
      <c r="AF26" s="26"/>
      <c r="AG26" s="26"/>
      <c r="AH26" s="26"/>
      <c r="AI26" s="26"/>
      <c r="AJ26" s="26"/>
      <c r="AK26" s="26"/>
      <c r="AL26" s="26"/>
      <c r="AM26" s="25"/>
      <c r="AN26" s="26"/>
      <c r="AO26" s="26"/>
      <c r="AP26" s="26"/>
      <c r="AQ26" s="25"/>
      <c r="AR26" s="26"/>
      <c r="AS26" s="26"/>
      <c r="AT26" s="26"/>
      <c r="AU26" s="25"/>
      <c r="AV26" s="26"/>
      <c r="AW26" s="26"/>
      <c r="AX26" s="26"/>
      <c r="AY26" s="25"/>
      <c r="AZ26" s="26"/>
      <c r="BA26" s="26"/>
      <c r="BB26" s="26"/>
      <c r="BC26" s="25"/>
      <c r="BD26" s="26"/>
      <c r="BE26" s="26"/>
      <c r="BF26" s="26"/>
      <c r="BG26" s="26"/>
      <c r="BH26" s="26"/>
      <c r="BI26" s="25"/>
      <c r="BJ26" s="26"/>
      <c r="BK26" s="26"/>
      <c r="BL26" s="26"/>
      <c r="BM26" s="25"/>
    </row>
    <row r="27" spans="1:65" ht="15.75" customHeight="1" x14ac:dyDescent="0.3">
      <c r="A27" s="25"/>
      <c r="B27" s="26"/>
      <c r="C27" s="26"/>
      <c r="D27" s="26"/>
      <c r="E27" s="25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5"/>
      <c r="S27" s="26"/>
      <c r="T27" s="26"/>
      <c r="U27" s="26"/>
      <c r="V27" s="26"/>
      <c r="W27" s="25"/>
      <c r="X27" s="26"/>
      <c r="Y27" s="26"/>
      <c r="Z27" s="26"/>
      <c r="AA27" s="26"/>
      <c r="AB27" s="26"/>
      <c r="AC27" s="26"/>
      <c r="AD27" s="26"/>
      <c r="AE27" s="25"/>
      <c r="AF27" s="26"/>
      <c r="AG27" s="26"/>
      <c r="AH27" s="26"/>
      <c r="AI27" s="26"/>
      <c r="AJ27" s="26"/>
      <c r="AK27" s="26"/>
      <c r="AL27" s="26"/>
      <c r="AM27" s="25"/>
      <c r="AN27" s="26"/>
      <c r="AO27" s="26"/>
      <c r="AP27" s="26"/>
      <c r="AQ27" s="25"/>
      <c r="AR27" s="26"/>
      <c r="AS27" s="26"/>
      <c r="AT27" s="26"/>
      <c r="AU27" s="25"/>
      <c r="AV27" s="26"/>
      <c r="AW27" s="26"/>
      <c r="AX27" s="26"/>
      <c r="AY27" s="25"/>
      <c r="AZ27" s="26"/>
      <c r="BA27" s="26"/>
      <c r="BB27" s="26"/>
      <c r="BC27" s="25"/>
      <c r="BD27" s="26"/>
      <c r="BE27" s="26"/>
      <c r="BF27" s="26"/>
      <c r="BG27" s="26"/>
      <c r="BH27" s="26"/>
      <c r="BI27" s="25"/>
      <c r="BJ27" s="26"/>
      <c r="BK27" s="26"/>
      <c r="BL27" s="26"/>
      <c r="BM27" s="25"/>
    </row>
    <row r="28" spans="1:65" ht="15.75" customHeight="1" x14ac:dyDescent="0.3">
      <c r="A28" s="25"/>
      <c r="B28" s="26"/>
      <c r="C28" s="26"/>
      <c r="D28" s="26"/>
      <c r="E28" s="25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5"/>
      <c r="S28" s="26"/>
      <c r="T28" s="26"/>
      <c r="U28" s="26"/>
      <c r="V28" s="26"/>
      <c r="W28" s="25"/>
      <c r="X28" s="26"/>
      <c r="Y28" s="26"/>
      <c r="Z28" s="26"/>
      <c r="AA28" s="26"/>
      <c r="AB28" s="26"/>
      <c r="AC28" s="26"/>
      <c r="AD28" s="26"/>
      <c r="AE28" s="25"/>
      <c r="AF28" s="26"/>
      <c r="AG28" s="26"/>
      <c r="AH28" s="26"/>
      <c r="AI28" s="26"/>
      <c r="AJ28" s="26"/>
      <c r="AK28" s="26"/>
      <c r="AL28" s="26"/>
      <c r="AM28" s="25"/>
      <c r="AN28" s="26"/>
      <c r="AO28" s="26"/>
      <c r="AP28" s="26"/>
      <c r="AQ28" s="25"/>
      <c r="AR28" s="26"/>
      <c r="AS28" s="26"/>
      <c r="AT28" s="26"/>
      <c r="AU28" s="25"/>
      <c r="AV28" s="26"/>
      <c r="AW28" s="26"/>
      <c r="AX28" s="26"/>
      <c r="AY28" s="25"/>
      <c r="AZ28" s="26"/>
      <c r="BA28" s="26"/>
      <c r="BB28" s="26"/>
      <c r="BC28" s="25"/>
      <c r="BD28" s="26"/>
      <c r="BE28" s="26"/>
      <c r="BF28" s="26"/>
      <c r="BG28" s="26"/>
      <c r="BH28" s="26"/>
      <c r="BI28" s="25"/>
      <c r="BJ28" s="26"/>
      <c r="BK28" s="26"/>
      <c r="BL28" s="26"/>
      <c r="BM28" s="25"/>
    </row>
    <row r="29" spans="1:65" ht="15.75" customHeight="1" x14ac:dyDescent="0.3">
      <c r="A29" s="25"/>
      <c r="B29" s="26"/>
      <c r="C29" s="26"/>
      <c r="D29" s="26"/>
      <c r="E29" s="25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5"/>
      <c r="S29" s="26"/>
      <c r="T29" s="26"/>
      <c r="U29" s="26"/>
      <c r="V29" s="26"/>
      <c r="W29" s="25"/>
      <c r="X29" s="26"/>
      <c r="Y29" s="26"/>
      <c r="Z29" s="26"/>
      <c r="AA29" s="26"/>
      <c r="AB29" s="26"/>
      <c r="AC29" s="26"/>
      <c r="AD29" s="26"/>
      <c r="AE29" s="25"/>
      <c r="AF29" s="26"/>
      <c r="AG29" s="26"/>
      <c r="AH29" s="26"/>
      <c r="AI29" s="26"/>
      <c r="AJ29" s="26"/>
      <c r="AK29" s="26"/>
      <c r="AL29" s="26"/>
      <c r="AM29" s="25"/>
      <c r="AN29" s="26"/>
      <c r="AO29" s="26"/>
      <c r="AP29" s="26"/>
      <c r="AQ29" s="25"/>
      <c r="AR29" s="26"/>
      <c r="AS29" s="26"/>
      <c r="AT29" s="26"/>
      <c r="AU29" s="25"/>
      <c r="AV29" s="26"/>
      <c r="AW29" s="26"/>
      <c r="AX29" s="26"/>
      <c r="AY29" s="25"/>
      <c r="AZ29" s="26"/>
      <c r="BA29" s="26"/>
      <c r="BB29" s="26"/>
      <c r="BC29" s="25"/>
      <c r="BD29" s="26"/>
      <c r="BE29" s="26"/>
      <c r="BF29" s="26"/>
      <c r="BG29" s="26"/>
      <c r="BH29" s="26"/>
      <c r="BI29" s="25"/>
      <c r="BJ29" s="26"/>
      <c r="BK29" s="26"/>
      <c r="BL29" s="26"/>
      <c r="BM29" s="25"/>
    </row>
    <row r="30" spans="1:65" ht="15.75" customHeight="1" x14ac:dyDescent="0.3">
      <c r="A30" s="25"/>
      <c r="B30" s="26"/>
      <c r="C30" s="26"/>
      <c r="D30" s="26"/>
      <c r="E30" s="25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5"/>
      <c r="S30" s="26"/>
      <c r="T30" s="26"/>
      <c r="U30" s="26"/>
      <c r="V30" s="26"/>
      <c r="W30" s="25"/>
      <c r="X30" s="26"/>
      <c r="Y30" s="26"/>
      <c r="Z30" s="26"/>
      <c r="AA30" s="26"/>
      <c r="AB30" s="26"/>
      <c r="AC30" s="26"/>
      <c r="AD30" s="26"/>
      <c r="AE30" s="25"/>
      <c r="AF30" s="26"/>
      <c r="AG30" s="26"/>
      <c r="AH30" s="26"/>
      <c r="AI30" s="26"/>
      <c r="AJ30" s="26"/>
      <c r="AK30" s="26"/>
      <c r="AL30" s="26"/>
      <c r="AM30" s="25"/>
      <c r="AN30" s="26"/>
      <c r="AO30" s="26"/>
      <c r="AP30" s="26"/>
      <c r="AQ30" s="25"/>
      <c r="AR30" s="26"/>
      <c r="AS30" s="26"/>
      <c r="AT30" s="26"/>
      <c r="AU30" s="25"/>
      <c r="AV30" s="26"/>
      <c r="AW30" s="26"/>
      <c r="AX30" s="26"/>
      <c r="AY30" s="25"/>
      <c r="AZ30" s="26"/>
      <c r="BA30" s="26"/>
      <c r="BB30" s="26"/>
      <c r="BC30" s="25"/>
      <c r="BD30" s="26"/>
      <c r="BE30" s="26"/>
      <c r="BF30" s="26"/>
      <c r="BG30" s="26"/>
      <c r="BH30" s="26"/>
      <c r="BI30" s="25"/>
      <c r="BJ30" s="26"/>
      <c r="BK30" s="26"/>
      <c r="BL30" s="26"/>
      <c r="BM30" s="25"/>
    </row>
    <row r="31" spans="1:65" ht="15.75" customHeight="1" x14ac:dyDescent="0.3">
      <c r="A31" s="25"/>
      <c r="B31" s="26"/>
      <c r="C31" s="26"/>
      <c r="D31" s="26"/>
      <c r="E31" s="25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5"/>
      <c r="S31" s="26"/>
      <c r="T31" s="26"/>
      <c r="U31" s="26"/>
      <c r="V31" s="26"/>
      <c r="W31" s="25"/>
      <c r="X31" s="26"/>
      <c r="Y31" s="26"/>
      <c r="Z31" s="26"/>
      <c r="AA31" s="26"/>
      <c r="AB31" s="26"/>
      <c r="AC31" s="26"/>
      <c r="AD31" s="26"/>
      <c r="AE31" s="25"/>
      <c r="AF31" s="26"/>
      <c r="AG31" s="26"/>
      <c r="AH31" s="26"/>
      <c r="AI31" s="26"/>
      <c r="AJ31" s="26"/>
      <c r="AK31" s="26"/>
      <c r="AL31" s="26"/>
      <c r="AM31" s="25"/>
      <c r="AN31" s="26"/>
      <c r="AO31" s="26"/>
      <c r="AP31" s="26"/>
      <c r="AQ31" s="25"/>
      <c r="AR31" s="26"/>
      <c r="AS31" s="26"/>
      <c r="AT31" s="26"/>
      <c r="AU31" s="25"/>
      <c r="AV31" s="26"/>
      <c r="AW31" s="26"/>
      <c r="AX31" s="26"/>
      <c r="AY31" s="25"/>
      <c r="AZ31" s="26"/>
      <c r="BA31" s="26"/>
      <c r="BB31" s="26"/>
      <c r="BC31" s="25"/>
      <c r="BD31" s="26"/>
      <c r="BE31" s="26"/>
      <c r="BF31" s="26"/>
      <c r="BG31" s="26"/>
      <c r="BH31" s="26"/>
      <c r="BI31" s="25"/>
      <c r="BJ31" s="26"/>
      <c r="BK31" s="26"/>
      <c r="BL31" s="26"/>
      <c r="BM31" s="25"/>
    </row>
    <row r="32" spans="1:65" ht="15.75" customHeight="1" x14ac:dyDescent="0.3">
      <c r="A32" s="25"/>
      <c r="B32" s="26"/>
      <c r="C32" s="26"/>
      <c r="D32" s="26"/>
      <c r="E32" s="25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5"/>
      <c r="S32" s="26"/>
      <c r="T32" s="26"/>
      <c r="U32" s="26"/>
      <c r="V32" s="26"/>
      <c r="W32" s="25"/>
      <c r="X32" s="26"/>
      <c r="Y32" s="26"/>
      <c r="Z32" s="26"/>
      <c r="AA32" s="26"/>
      <c r="AB32" s="26"/>
      <c r="AC32" s="26"/>
      <c r="AD32" s="26"/>
      <c r="AE32" s="25"/>
      <c r="AF32" s="26"/>
      <c r="AG32" s="26"/>
      <c r="AH32" s="26"/>
      <c r="AI32" s="26"/>
      <c r="AJ32" s="26"/>
      <c r="AK32" s="26"/>
      <c r="AL32" s="26"/>
      <c r="AM32" s="25"/>
      <c r="AN32" s="26"/>
      <c r="AO32" s="26"/>
      <c r="AP32" s="26"/>
      <c r="AQ32" s="25"/>
      <c r="AR32" s="26"/>
      <c r="AS32" s="26"/>
      <c r="AT32" s="26"/>
      <c r="AU32" s="25"/>
      <c r="AV32" s="26"/>
      <c r="AW32" s="26"/>
      <c r="AX32" s="26"/>
      <c r="AY32" s="25"/>
      <c r="AZ32" s="26"/>
      <c r="BA32" s="26"/>
      <c r="BB32" s="26"/>
      <c r="BC32" s="25"/>
      <c r="BD32" s="26"/>
      <c r="BE32" s="26"/>
      <c r="BF32" s="26"/>
      <c r="BG32" s="26"/>
      <c r="BH32" s="26"/>
      <c r="BI32" s="25"/>
      <c r="BJ32" s="26"/>
      <c r="BK32" s="26"/>
      <c r="BL32" s="26"/>
      <c r="BM32" s="25"/>
    </row>
    <row r="33" spans="1:65" ht="15.75" customHeight="1" x14ac:dyDescent="0.3">
      <c r="A33" s="25"/>
      <c r="B33" s="26"/>
      <c r="C33" s="26"/>
      <c r="D33" s="26"/>
      <c r="E33" s="25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5"/>
      <c r="S33" s="26"/>
      <c r="T33" s="26"/>
      <c r="U33" s="26"/>
      <c r="V33" s="26"/>
      <c r="W33" s="25"/>
      <c r="X33" s="26"/>
      <c r="Y33" s="26"/>
      <c r="Z33" s="26"/>
      <c r="AA33" s="26"/>
      <c r="AB33" s="26"/>
      <c r="AC33" s="26"/>
      <c r="AD33" s="26"/>
      <c r="AE33" s="25"/>
      <c r="AF33" s="26"/>
      <c r="AG33" s="26"/>
      <c r="AH33" s="26"/>
      <c r="AI33" s="26"/>
      <c r="AJ33" s="26"/>
      <c r="AK33" s="26"/>
      <c r="AL33" s="26"/>
      <c r="AM33" s="25"/>
      <c r="AN33" s="26"/>
      <c r="AO33" s="26"/>
      <c r="AP33" s="26"/>
      <c r="AQ33" s="25"/>
      <c r="AR33" s="26"/>
      <c r="AS33" s="26"/>
      <c r="AT33" s="26"/>
      <c r="AU33" s="25"/>
      <c r="AV33" s="26"/>
      <c r="AW33" s="26"/>
      <c r="AX33" s="26"/>
      <c r="AY33" s="25"/>
      <c r="AZ33" s="26"/>
      <c r="BA33" s="26"/>
      <c r="BB33" s="26"/>
      <c r="BC33" s="25"/>
      <c r="BD33" s="26"/>
      <c r="BE33" s="26"/>
      <c r="BF33" s="26"/>
      <c r="BG33" s="26"/>
      <c r="BH33" s="26"/>
      <c r="BI33" s="25"/>
      <c r="BJ33" s="26"/>
      <c r="BK33" s="26"/>
      <c r="BL33" s="26"/>
      <c r="BM33" s="25"/>
    </row>
    <row r="34" spans="1:65" ht="15.75" customHeight="1" x14ac:dyDescent="0.3">
      <c r="A34" s="25"/>
      <c r="B34" s="26"/>
      <c r="C34" s="26"/>
      <c r="D34" s="26"/>
      <c r="E34" s="25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5"/>
      <c r="S34" s="26"/>
      <c r="T34" s="26"/>
      <c r="U34" s="26"/>
      <c r="V34" s="26"/>
      <c r="W34" s="25"/>
      <c r="X34" s="26"/>
      <c r="Y34" s="26"/>
      <c r="Z34" s="26"/>
      <c r="AA34" s="26"/>
      <c r="AB34" s="26"/>
      <c r="AC34" s="26"/>
      <c r="AD34" s="26"/>
      <c r="AE34" s="25"/>
      <c r="AF34" s="26"/>
      <c r="AG34" s="26"/>
      <c r="AH34" s="26"/>
      <c r="AI34" s="26"/>
      <c r="AJ34" s="26"/>
      <c r="AK34" s="26"/>
      <c r="AL34" s="26"/>
      <c r="AM34" s="25"/>
      <c r="AN34" s="26"/>
      <c r="AO34" s="26"/>
      <c r="AP34" s="26"/>
      <c r="AQ34" s="25"/>
      <c r="AR34" s="26"/>
      <c r="AS34" s="26"/>
      <c r="AT34" s="26"/>
      <c r="AU34" s="25"/>
      <c r="AV34" s="26"/>
      <c r="AW34" s="26"/>
      <c r="AX34" s="26"/>
      <c r="AY34" s="25"/>
      <c r="AZ34" s="26"/>
      <c r="BA34" s="26"/>
      <c r="BB34" s="26"/>
      <c r="BC34" s="25"/>
      <c r="BD34" s="26"/>
      <c r="BE34" s="26"/>
      <c r="BF34" s="26"/>
      <c r="BG34" s="26"/>
      <c r="BH34" s="26"/>
      <c r="BI34" s="25"/>
      <c r="BJ34" s="26"/>
      <c r="BK34" s="26"/>
      <c r="BL34" s="26"/>
      <c r="BM34" s="25"/>
    </row>
    <row r="35" spans="1:65" ht="15.75" customHeight="1" x14ac:dyDescent="0.3">
      <c r="A35" s="25"/>
      <c r="B35" s="26"/>
      <c r="C35" s="26"/>
      <c r="D35" s="26"/>
      <c r="E35" s="25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5"/>
      <c r="S35" s="26"/>
      <c r="T35" s="26"/>
      <c r="U35" s="26"/>
      <c r="V35" s="26"/>
      <c r="W35" s="25"/>
      <c r="X35" s="26"/>
      <c r="Y35" s="26"/>
      <c r="Z35" s="26"/>
      <c r="AA35" s="26"/>
      <c r="AB35" s="26"/>
      <c r="AC35" s="26"/>
      <c r="AD35" s="26"/>
      <c r="AE35" s="25"/>
      <c r="AF35" s="26"/>
      <c r="AG35" s="26"/>
      <c r="AH35" s="26"/>
      <c r="AI35" s="26"/>
      <c r="AJ35" s="26"/>
      <c r="AK35" s="26"/>
      <c r="AL35" s="26"/>
      <c r="AM35" s="25"/>
      <c r="AN35" s="26"/>
      <c r="AO35" s="26"/>
      <c r="AP35" s="26"/>
      <c r="AQ35" s="25"/>
      <c r="AR35" s="26"/>
      <c r="AS35" s="26"/>
      <c r="AT35" s="26"/>
      <c r="AU35" s="25"/>
      <c r="AV35" s="26"/>
      <c r="AW35" s="26"/>
      <c r="AX35" s="26"/>
      <c r="AY35" s="25"/>
      <c r="AZ35" s="26"/>
      <c r="BA35" s="26"/>
      <c r="BB35" s="26"/>
      <c r="BC35" s="25"/>
      <c r="BD35" s="26"/>
      <c r="BE35" s="26"/>
      <c r="BF35" s="26"/>
      <c r="BG35" s="26"/>
      <c r="BH35" s="26"/>
      <c r="BI35" s="25"/>
      <c r="BJ35" s="26"/>
      <c r="BK35" s="26"/>
      <c r="BL35" s="26"/>
      <c r="BM35" s="25"/>
    </row>
    <row r="36" spans="1:65" ht="15.75" customHeight="1" x14ac:dyDescent="0.3">
      <c r="A36" s="25"/>
      <c r="B36" s="26"/>
      <c r="C36" s="26"/>
      <c r="D36" s="26"/>
      <c r="E36" s="25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5"/>
      <c r="S36" s="26"/>
      <c r="T36" s="26"/>
      <c r="U36" s="26"/>
      <c r="V36" s="26"/>
      <c r="W36" s="25"/>
      <c r="X36" s="26"/>
      <c r="Y36" s="26"/>
      <c r="Z36" s="26"/>
      <c r="AA36" s="26"/>
      <c r="AB36" s="26"/>
      <c r="AC36" s="26"/>
      <c r="AD36" s="26"/>
      <c r="AE36" s="25"/>
      <c r="AF36" s="26"/>
      <c r="AG36" s="26"/>
      <c r="AH36" s="26"/>
      <c r="AI36" s="26"/>
      <c r="AJ36" s="26"/>
      <c r="AK36" s="26"/>
      <c r="AL36" s="26"/>
      <c r="AM36" s="25"/>
      <c r="AN36" s="26"/>
      <c r="AO36" s="26"/>
      <c r="AP36" s="26"/>
      <c r="AQ36" s="25"/>
      <c r="AR36" s="26"/>
      <c r="AS36" s="26"/>
      <c r="AT36" s="26"/>
      <c r="AU36" s="25"/>
      <c r="AV36" s="26"/>
      <c r="AW36" s="26"/>
      <c r="AX36" s="26"/>
      <c r="AY36" s="25"/>
      <c r="AZ36" s="26"/>
      <c r="BA36" s="26"/>
      <c r="BB36" s="26"/>
      <c r="BC36" s="25"/>
      <c r="BD36" s="26"/>
      <c r="BE36" s="26"/>
      <c r="BF36" s="26"/>
      <c r="BG36" s="26"/>
      <c r="BH36" s="26"/>
      <c r="BI36" s="25"/>
      <c r="BJ36" s="26"/>
      <c r="BK36" s="26"/>
      <c r="BL36" s="26"/>
      <c r="BM36" s="25"/>
    </row>
    <row r="37" spans="1:65" ht="15.75" customHeight="1" x14ac:dyDescent="0.3">
      <c r="A37" s="25"/>
      <c r="B37" s="26"/>
      <c r="C37" s="26"/>
      <c r="D37" s="26"/>
      <c r="E37" s="25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5"/>
      <c r="S37" s="26"/>
      <c r="T37" s="26"/>
      <c r="U37" s="26"/>
      <c r="V37" s="26"/>
      <c r="W37" s="25"/>
      <c r="X37" s="26"/>
      <c r="Y37" s="26"/>
      <c r="Z37" s="26"/>
      <c r="AA37" s="26"/>
      <c r="AB37" s="26"/>
      <c r="AC37" s="26"/>
      <c r="AD37" s="26"/>
      <c r="AE37" s="25"/>
      <c r="AF37" s="26"/>
      <c r="AG37" s="26"/>
      <c r="AH37" s="26"/>
      <c r="AI37" s="26"/>
      <c r="AJ37" s="26"/>
      <c r="AK37" s="26"/>
      <c r="AL37" s="26"/>
      <c r="AM37" s="25"/>
      <c r="AN37" s="26"/>
      <c r="AO37" s="26"/>
      <c r="AP37" s="26"/>
      <c r="AQ37" s="25"/>
      <c r="AR37" s="26"/>
      <c r="AS37" s="26"/>
      <c r="AT37" s="26"/>
      <c r="AU37" s="25"/>
      <c r="AV37" s="26"/>
      <c r="AW37" s="26"/>
      <c r="AX37" s="26"/>
      <c r="AY37" s="25"/>
      <c r="AZ37" s="26"/>
      <c r="BA37" s="26"/>
      <c r="BB37" s="26"/>
      <c r="BC37" s="25"/>
      <c r="BD37" s="26"/>
      <c r="BE37" s="26"/>
      <c r="BF37" s="26"/>
      <c r="BG37" s="26"/>
      <c r="BH37" s="26"/>
      <c r="BI37" s="25"/>
      <c r="BJ37" s="26"/>
      <c r="BK37" s="26"/>
      <c r="BL37" s="26"/>
      <c r="BM37" s="25"/>
    </row>
    <row r="38" spans="1:65" ht="15.75" customHeight="1" x14ac:dyDescent="0.3">
      <c r="A38" s="25"/>
      <c r="B38" s="26"/>
      <c r="C38" s="26"/>
      <c r="D38" s="26"/>
      <c r="E38" s="25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5"/>
      <c r="S38" s="26"/>
      <c r="T38" s="26"/>
      <c r="U38" s="26"/>
      <c r="V38" s="26"/>
      <c r="W38" s="25"/>
      <c r="X38" s="26"/>
      <c r="Y38" s="26"/>
      <c r="Z38" s="26"/>
      <c r="AA38" s="26"/>
      <c r="AB38" s="26"/>
      <c r="AC38" s="26"/>
      <c r="AD38" s="26"/>
      <c r="AE38" s="25"/>
      <c r="AF38" s="26"/>
      <c r="AG38" s="26"/>
      <c r="AH38" s="26"/>
      <c r="AI38" s="26"/>
      <c r="AJ38" s="26"/>
      <c r="AK38" s="26"/>
      <c r="AL38" s="26"/>
      <c r="AM38" s="25"/>
      <c r="AN38" s="26"/>
      <c r="AO38" s="26"/>
      <c r="AP38" s="26"/>
      <c r="AQ38" s="25"/>
      <c r="AR38" s="26"/>
      <c r="AS38" s="26"/>
      <c r="AT38" s="26"/>
      <c r="AU38" s="25"/>
      <c r="AV38" s="26"/>
      <c r="AW38" s="26"/>
      <c r="AX38" s="26"/>
      <c r="AY38" s="25"/>
      <c r="AZ38" s="26"/>
      <c r="BA38" s="26"/>
      <c r="BB38" s="26"/>
      <c r="BC38" s="25"/>
      <c r="BD38" s="26"/>
      <c r="BE38" s="26"/>
      <c r="BF38" s="26"/>
      <c r="BG38" s="26"/>
      <c r="BH38" s="26"/>
      <c r="BI38" s="25"/>
      <c r="BJ38" s="26"/>
      <c r="BK38" s="26"/>
      <c r="BL38" s="26"/>
      <c r="BM38" s="25"/>
    </row>
    <row r="39" spans="1:65" ht="15.75" customHeight="1" x14ac:dyDescent="0.3">
      <c r="A39" s="25"/>
      <c r="B39" s="26"/>
      <c r="C39" s="26"/>
      <c r="D39" s="26"/>
      <c r="E39" s="25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5"/>
      <c r="S39" s="26"/>
      <c r="T39" s="26"/>
      <c r="U39" s="26"/>
      <c r="V39" s="26"/>
      <c r="W39" s="25"/>
      <c r="X39" s="26"/>
      <c r="Y39" s="26"/>
      <c r="Z39" s="26"/>
      <c r="AA39" s="26"/>
      <c r="AB39" s="26"/>
      <c r="AC39" s="26"/>
      <c r="AD39" s="26"/>
      <c r="AE39" s="25"/>
      <c r="AF39" s="26"/>
      <c r="AG39" s="26"/>
      <c r="AH39" s="26"/>
      <c r="AI39" s="26"/>
      <c r="AJ39" s="26"/>
      <c r="AK39" s="26"/>
      <c r="AL39" s="26"/>
      <c r="AM39" s="25"/>
      <c r="AN39" s="26"/>
      <c r="AO39" s="26"/>
      <c r="AP39" s="26"/>
      <c r="AQ39" s="25"/>
      <c r="AR39" s="26"/>
      <c r="AS39" s="26"/>
      <c r="AT39" s="26"/>
      <c r="AU39" s="25"/>
      <c r="AV39" s="26"/>
      <c r="AW39" s="26"/>
      <c r="AX39" s="26"/>
      <c r="AY39" s="25"/>
      <c r="AZ39" s="26"/>
      <c r="BA39" s="26"/>
      <c r="BB39" s="26"/>
      <c r="BC39" s="25"/>
      <c r="BD39" s="26"/>
      <c r="BE39" s="26"/>
      <c r="BF39" s="26"/>
      <c r="BG39" s="26"/>
      <c r="BH39" s="26"/>
      <c r="BI39" s="25"/>
      <c r="BJ39" s="26"/>
      <c r="BK39" s="26"/>
      <c r="BL39" s="26"/>
      <c r="BM39" s="25"/>
    </row>
    <row r="40" spans="1:65" ht="15.75" customHeight="1" x14ac:dyDescent="0.3">
      <c r="A40" s="25"/>
      <c r="B40" s="26"/>
      <c r="C40" s="26"/>
      <c r="D40" s="26"/>
      <c r="E40" s="25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5"/>
      <c r="S40" s="26"/>
      <c r="T40" s="26"/>
      <c r="U40" s="26"/>
      <c r="V40" s="26"/>
      <c r="W40" s="25"/>
      <c r="X40" s="26"/>
      <c r="Y40" s="26"/>
      <c r="Z40" s="26"/>
      <c r="AA40" s="26"/>
      <c r="AB40" s="26"/>
      <c r="AC40" s="26"/>
      <c r="AD40" s="26"/>
      <c r="AE40" s="25"/>
      <c r="AF40" s="26"/>
      <c r="AG40" s="26"/>
      <c r="AH40" s="26"/>
      <c r="AI40" s="26"/>
      <c r="AJ40" s="26"/>
      <c r="AK40" s="26"/>
      <c r="AL40" s="26"/>
      <c r="AM40" s="25"/>
      <c r="AN40" s="26"/>
      <c r="AO40" s="26"/>
      <c r="AP40" s="26"/>
      <c r="AQ40" s="25"/>
      <c r="AR40" s="26"/>
      <c r="AS40" s="26"/>
      <c r="AT40" s="26"/>
      <c r="AU40" s="25"/>
      <c r="AV40" s="26"/>
      <c r="AW40" s="26"/>
      <c r="AX40" s="26"/>
      <c r="AY40" s="25"/>
      <c r="AZ40" s="26"/>
      <c r="BA40" s="26"/>
      <c r="BB40" s="26"/>
      <c r="BC40" s="25"/>
      <c r="BD40" s="26"/>
      <c r="BE40" s="26"/>
      <c r="BF40" s="26"/>
      <c r="BG40" s="26"/>
      <c r="BH40" s="26"/>
      <c r="BI40" s="25"/>
      <c r="BJ40" s="26"/>
      <c r="BK40" s="26"/>
      <c r="BL40" s="26"/>
      <c r="BM40" s="25"/>
    </row>
    <row r="41" spans="1:65" ht="15.75" customHeight="1" x14ac:dyDescent="0.3">
      <c r="A41" s="25"/>
      <c r="B41" s="26"/>
      <c r="C41" s="26"/>
      <c r="D41" s="26"/>
      <c r="E41" s="25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5"/>
      <c r="S41" s="26"/>
      <c r="T41" s="26"/>
      <c r="U41" s="26"/>
      <c r="V41" s="26"/>
      <c r="W41" s="25"/>
      <c r="X41" s="26"/>
      <c r="Y41" s="26"/>
      <c r="Z41" s="26"/>
      <c r="AA41" s="26"/>
      <c r="AB41" s="26"/>
      <c r="AC41" s="26"/>
      <c r="AD41" s="26"/>
      <c r="AE41" s="25"/>
      <c r="AF41" s="26"/>
      <c r="AG41" s="26"/>
      <c r="AH41" s="26"/>
      <c r="AI41" s="26"/>
      <c r="AJ41" s="26"/>
      <c r="AK41" s="26"/>
      <c r="AL41" s="26"/>
      <c r="AM41" s="25"/>
      <c r="AN41" s="26"/>
      <c r="AO41" s="26"/>
      <c r="AP41" s="26"/>
      <c r="AQ41" s="25"/>
      <c r="AR41" s="26"/>
      <c r="AS41" s="26"/>
      <c r="AT41" s="26"/>
      <c r="AU41" s="25"/>
      <c r="AV41" s="26"/>
      <c r="AW41" s="26"/>
      <c r="AX41" s="26"/>
      <c r="AY41" s="25"/>
      <c r="AZ41" s="26"/>
      <c r="BA41" s="26"/>
      <c r="BB41" s="26"/>
      <c r="BC41" s="25"/>
      <c r="BD41" s="26"/>
      <c r="BE41" s="26"/>
      <c r="BF41" s="26"/>
      <c r="BG41" s="26"/>
      <c r="BH41" s="26"/>
      <c r="BI41" s="25"/>
      <c r="BJ41" s="26"/>
      <c r="BK41" s="26"/>
      <c r="BL41" s="26"/>
      <c r="BM41" s="25"/>
    </row>
    <row r="42" spans="1:65" ht="15.75" customHeight="1" x14ac:dyDescent="0.3">
      <c r="A42" s="25"/>
      <c r="B42" s="26"/>
      <c r="C42" s="26"/>
      <c r="D42" s="26"/>
      <c r="E42" s="25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5"/>
      <c r="S42" s="26"/>
      <c r="T42" s="26"/>
      <c r="U42" s="26"/>
      <c r="V42" s="26"/>
      <c r="W42" s="25"/>
      <c r="X42" s="26"/>
      <c r="Y42" s="26"/>
      <c r="Z42" s="26"/>
      <c r="AA42" s="26"/>
      <c r="AB42" s="26"/>
      <c r="AC42" s="26"/>
      <c r="AD42" s="26"/>
      <c r="AE42" s="25"/>
      <c r="AF42" s="26"/>
      <c r="AG42" s="26"/>
      <c r="AH42" s="26"/>
      <c r="AI42" s="26"/>
      <c r="AJ42" s="26"/>
      <c r="AK42" s="26"/>
      <c r="AL42" s="26"/>
      <c r="AM42" s="25"/>
      <c r="AN42" s="26"/>
      <c r="AO42" s="26"/>
      <c r="AP42" s="26"/>
      <c r="AQ42" s="25"/>
      <c r="AR42" s="26"/>
      <c r="AS42" s="26"/>
      <c r="AT42" s="26"/>
      <c r="AU42" s="25"/>
      <c r="AV42" s="26"/>
      <c r="AW42" s="26"/>
      <c r="AX42" s="26"/>
      <c r="AY42" s="25"/>
      <c r="AZ42" s="26"/>
      <c r="BA42" s="26"/>
      <c r="BB42" s="26"/>
      <c r="BC42" s="25"/>
      <c r="BD42" s="26"/>
      <c r="BE42" s="26"/>
      <c r="BF42" s="26"/>
      <c r="BG42" s="26"/>
      <c r="BH42" s="26"/>
      <c r="BI42" s="25"/>
      <c r="BJ42" s="26"/>
      <c r="BK42" s="26"/>
      <c r="BL42" s="26"/>
      <c r="BM42" s="25"/>
    </row>
    <row r="43" spans="1:65" ht="15.75" customHeight="1" x14ac:dyDescent="0.3">
      <c r="A43" s="25"/>
      <c r="B43" s="26"/>
      <c r="C43" s="26"/>
      <c r="D43" s="26"/>
      <c r="E43" s="25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5"/>
      <c r="S43" s="26"/>
      <c r="T43" s="26"/>
      <c r="U43" s="26"/>
      <c r="V43" s="26"/>
      <c r="W43" s="25"/>
      <c r="X43" s="26"/>
      <c r="Y43" s="26"/>
      <c r="Z43" s="26"/>
      <c r="AA43" s="26"/>
      <c r="AB43" s="26"/>
      <c r="AC43" s="26"/>
      <c r="AD43" s="26"/>
      <c r="AE43" s="25"/>
      <c r="AF43" s="26"/>
      <c r="AG43" s="26"/>
      <c r="AH43" s="26"/>
      <c r="AI43" s="26"/>
      <c r="AJ43" s="26"/>
      <c r="AK43" s="26"/>
      <c r="AL43" s="26"/>
      <c r="AM43" s="25"/>
      <c r="AN43" s="26"/>
      <c r="AO43" s="26"/>
      <c r="AP43" s="26"/>
      <c r="AQ43" s="25"/>
      <c r="AR43" s="26"/>
      <c r="AS43" s="26"/>
      <c r="AT43" s="26"/>
      <c r="AU43" s="25"/>
      <c r="AV43" s="26"/>
      <c r="AW43" s="26"/>
      <c r="AX43" s="26"/>
      <c r="AY43" s="25"/>
      <c r="AZ43" s="26"/>
      <c r="BA43" s="26"/>
      <c r="BB43" s="26"/>
      <c r="BC43" s="25"/>
      <c r="BD43" s="26"/>
      <c r="BE43" s="26"/>
      <c r="BF43" s="26"/>
      <c r="BG43" s="26"/>
      <c r="BH43" s="26"/>
      <c r="BI43" s="25"/>
      <c r="BJ43" s="26"/>
      <c r="BK43" s="26"/>
      <c r="BL43" s="26"/>
      <c r="BM43" s="25"/>
    </row>
    <row r="44" spans="1:65" ht="15.75" customHeight="1" x14ac:dyDescent="0.3">
      <c r="A44" s="33"/>
      <c r="B44" s="34"/>
      <c r="C44" s="34"/>
      <c r="D44" s="34"/>
      <c r="E44" s="33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3"/>
      <c r="S44" s="34"/>
      <c r="T44" s="34"/>
      <c r="U44" s="34"/>
      <c r="V44" s="34"/>
      <c r="W44" s="33"/>
      <c r="X44" s="34"/>
      <c r="Y44" s="34"/>
      <c r="Z44" s="34"/>
      <c r="AA44" s="34"/>
      <c r="AB44" s="34"/>
      <c r="AC44" s="34"/>
      <c r="AD44" s="34"/>
      <c r="AE44" s="33"/>
      <c r="AF44" s="34"/>
      <c r="AG44" s="34"/>
      <c r="AH44" s="34"/>
      <c r="AI44" s="34"/>
      <c r="AJ44" s="34"/>
      <c r="AK44" s="34"/>
      <c r="AL44" s="34"/>
      <c r="AM44" s="33"/>
      <c r="AN44" s="34"/>
      <c r="AO44" s="34"/>
      <c r="AP44" s="34"/>
      <c r="AQ44" s="33"/>
      <c r="AR44" s="34"/>
      <c r="AS44" s="34"/>
      <c r="AT44" s="34"/>
      <c r="AU44" s="33"/>
      <c r="AV44" s="34"/>
      <c r="AW44" s="34"/>
      <c r="AX44" s="34"/>
      <c r="AY44" s="33"/>
      <c r="AZ44" s="34"/>
      <c r="BA44" s="34"/>
      <c r="BB44" s="34"/>
      <c r="BC44" s="33"/>
      <c r="BD44" s="34"/>
      <c r="BE44" s="34"/>
      <c r="BF44" s="34"/>
      <c r="BG44" s="34"/>
      <c r="BH44" s="34"/>
      <c r="BI44" s="33"/>
      <c r="BJ44" s="34"/>
      <c r="BK44" s="34"/>
      <c r="BL44" s="34"/>
      <c r="BM44" s="33"/>
    </row>
    <row r="45" spans="1:65" ht="15.75" customHeight="1" x14ac:dyDescent="0.3">
      <c r="A45" s="33"/>
      <c r="B45" s="34"/>
      <c r="C45" s="34"/>
      <c r="D45" s="34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3"/>
      <c r="S45" s="34"/>
      <c r="T45" s="34"/>
      <c r="U45" s="34"/>
      <c r="V45" s="34"/>
      <c r="W45" s="33"/>
      <c r="X45" s="34"/>
      <c r="Y45" s="34"/>
      <c r="Z45" s="34"/>
      <c r="AA45" s="34"/>
      <c r="AB45" s="34"/>
      <c r="AC45" s="34"/>
      <c r="AD45" s="34"/>
      <c r="AE45" s="33"/>
      <c r="AF45" s="34"/>
      <c r="AG45" s="34"/>
      <c r="AH45" s="34"/>
      <c r="AI45" s="34"/>
      <c r="AJ45" s="34"/>
      <c r="AK45" s="34"/>
      <c r="AL45" s="34"/>
      <c r="AM45" s="33"/>
      <c r="AN45" s="34"/>
      <c r="AO45" s="34"/>
      <c r="AP45" s="34"/>
      <c r="AQ45" s="33"/>
      <c r="AR45" s="34"/>
      <c r="AS45" s="34"/>
      <c r="AT45" s="34"/>
      <c r="AU45" s="33"/>
      <c r="AV45" s="34"/>
      <c r="AW45" s="34"/>
      <c r="AX45" s="34"/>
      <c r="AY45" s="33"/>
      <c r="AZ45" s="34"/>
      <c r="BA45" s="34"/>
      <c r="BB45" s="34"/>
      <c r="BC45" s="33"/>
      <c r="BD45" s="34"/>
      <c r="BE45" s="34"/>
      <c r="BF45" s="34"/>
      <c r="BG45" s="34"/>
      <c r="BH45" s="34"/>
      <c r="BI45" s="33"/>
      <c r="BJ45" s="34"/>
      <c r="BK45" s="34"/>
      <c r="BL45" s="34"/>
      <c r="BM45" s="33"/>
    </row>
    <row r="46" spans="1:65" ht="15.75" customHeight="1" x14ac:dyDescent="0.3">
      <c r="A46" s="33"/>
      <c r="B46" s="34"/>
      <c r="C46" s="34"/>
      <c r="D46" s="34"/>
      <c r="E46" s="33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3"/>
      <c r="S46" s="34"/>
      <c r="T46" s="34"/>
      <c r="U46" s="34"/>
      <c r="V46" s="34"/>
      <c r="W46" s="33"/>
      <c r="X46" s="34"/>
      <c r="Y46" s="34"/>
      <c r="Z46" s="34"/>
      <c r="AA46" s="34"/>
      <c r="AB46" s="34"/>
      <c r="AC46" s="34"/>
      <c r="AD46" s="34"/>
      <c r="AE46" s="33"/>
      <c r="AF46" s="34"/>
      <c r="AG46" s="34"/>
      <c r="AH46" s="34"/>
      <c r="AI46" s="34"/>
      <c r="AJ46" s="34"/>
      <c r="AK46" s="34"/>
      <c r="AL46" s="34"/>
      <c r="AM46" s="33"/>
      <c r="AN46" s="34"/>
      <c r="AO46" s="34"/>
      <c r="AP46" s="34"/>
      <c r="AQ46" s="33"/>
      <c r="AR46" s="34"/>
      <c r="AS46" s="34"/>
      <c r="AT46" s="34"/>
      <c r="AU46" s="33"/>
      <c r="AV46" s="34"/>
      <c r="AW46" s="34"/>
      <c r="AX46" s="34"/>
      <c r="AY46" s="33"/>
      <c r="AZ46" s="34"/>
      <c r="BA46" s="34"/>
      <c r="BB46" s="34"/>
      <c r="BC46" s="33"/>
      <c r="BD46" s="34"/>
      <c r="BE46" s="34"/>
      <c r="BF46" s="34"/>
      <c r="BG46" s="34"/>
      <c r="BH46" s="34"/>
      <c r="BI46" s="33"/>
      <c r="BJ46" s="34"/>
      <c r="BK46" s="34"/>
      <c r="BL46" s="34"/>
      <c r="BM46" s="33"/>
    </row>
    <row r="47" spans="1:65" ht="15.75" customHeight="1" x14ac:dyDescent="0.3">
      <c r="A47" s="33"/>
      <c r="B47" s="34"/>
      <c r="C47" s="34"/>
      <c r="D47" s="34"/>
      <c r="E47" s="33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3"/>
      <c r="S47" s="34"/>
      <c r="T47" s="34"/>
      <c r="U47" s="34"/>
      <c r="V47" s="34"/>
      <c r="W47" s="33"/>
      <c r="X47" s="34"/>
      <c r="Y47" s="34"/>
      <c r="Z47" s="34"/>
      <c r="AA47" s="34"/>
      <c r="AB47" s="34"/>
      <c r="AC47" s="34"/>
      <c r="AD47" s="34"/>
      <c r="AE47" s="33"/>
      <c r="AF47" s="34"/>
      <c r="AG47" s="34"/>
      <c r="AH47" s="34"/>
      <c r="AI47" s="34"/>
      <c r="AJ47" s="34"/>
      <c r="AK47" s="34"/>
      <c r="AL47" s="34"/>
      <c r="AM47" s="33"/>
      <c r="AN47" s="34"/>
      <c r="AO47" s="34"/>
      <c r="AP47" s="34"/>
      <c r="AQ47" s="33"/>
      <c r="AR47" s="34"/>
      <c r="AS47" s="34"/>
      <c r="AT47" s="34"/>
      <c r="AU47" s="33"/>
      <c r="AV47" s="34"/>
      <c r="AW47" s="34"/>
      <c r="AX47" s="34"/>
      <c r="AY47" s="33"/>
      <c r="AZ47" s="34"/>
      <c r="BA47" s="34"/>
      <c r="BB47" s="34"/>
      <c r="BC47" s="33"/>
      <c r="BD47" s="34"/>
      <c r="BE47" s="34"/>
      <c r="BF47" s="34"/>
      <c r="BG47" s="34"/>
      <c r="BH47" s="34"/>
      <c r="BI47" s="33"/>
      <c r="BJ47" s="34"/>
      <c r="BK47" s="34"/>
      <c r="BL47" s="34"/>
      <c r="BM47" s="33"/>
    </row>
    <row r="48" spans="1:65" ht="15.75" customHeight="1" x14ac:dyDescent="0.3">
      <c r="A48" s="33"/>
      <c r="B48" s="34"/>
      <c r="C48" s="34"/>
      <c r="D48" s="34"/>
      <c r="E48" s="33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3"/>
      <c r="S48" s="34"/>
      <c r="T48" s="34"/>
      <c r="U48" s="34"/>
      <c r="V48" s="34"/>
      <c r="W48" s="33"/>
      <c r="X48" s="34"/>
      <c r="Y48" s="34"/>
      <c r="Z48" s="34"/>
      <c r="AA48" s="34"/>
      <c r="AB48" s="34"/>
      <c r="AC48" s="34"/>
      <c r="AD48" s="34"/>
      <c r="AE48" s="33"/>
      <c r="AF48" s="34"/>
      <c r="AG48" s="34"/>
      <c r="AH48" s="34"/>
      <c r="AI48" s="34"/>
      <c r="AJ48" s="34"/>
      <c r="AK48" s="34"/>
      <c r="AL48" s="34"/>
      <c r="AM48" s="33"/>
      <c r="AN48" s="34"/>
      <c r="AO48" s="34"/>
      <c r="AP48" s="34"/>
      <c r="AQ48" s="33"/>
      <c r="AR48" s="34"/>
      <c r="AS48" s="34"/>
      <c r="AT48" s="34"/>
      <c r="AU48" s="33"/>
      <c r="AV48" s="34"/>
      <c r="AW48" s="34"/>
      <c r="AX48" s="34"/>
      <c r="AY48" s="33"/>
      <c r="AZ48" s="34"/>
      <c r="BA48" s="34"/>
      <c r="BB48" s="34"/>
      <c r="BC48" s="33"/>
      <c r="BD48" s="34"/>
      <c r="BE48" s="34"/>
      <c r="BF48" s="34"/>
      <c r="BG48" s="34"/>
      <c r="BH48" s="34"/>
      <c r="BI48" s="33"/>
      <c r="BJ48" s="34"/>
      <c r="BK48" s="34"/>
      <c r="BL48" s="34"/>
      <c r="BM48" s="33"/>
    </row>
    <row r="49" spans="1:65" ht="15.75" customHeight="1" x14ac:dyDescent="0.3">
      <c r="A49" s="33"/>
      <c r="B49" s="34"/>
      <c r="C49" s="34"/>
      <c r="D49" s="34"/>
      <c r="E49" s="33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3"/>
      <c r="S49" s="34"/>
      <c r="T49" s="34"/>
      <c r="U49" s="34"/>
      <c r="V49" s="34"/>
      <c r="W49" s="33"/>
      <c r="X49" s="34"/>
      <c r="Y49" s="34"/>
      <c r="Z49" s="34"/>
      <c r="AA49" s="34"/>
      <c r="AB49" s="34"/>
      <c r="AC49" s="34"/>
      <c r="AD49" s="34"/>
      <c r="AE49" s="33"/>
      <c r="AF49" s="34"/>
      <c r="AG49" s="34"/>
      <c r="AH49" s="34"/>
      <c r="AI49" s="34"/>
      <c r="AJ49" s="34"/>
      <c r="AK49" s="34"/>
      <c r="AL49" s="34"/>
      <c r="AM49" s="33"/>
      <c r="AN49" s="34"/>
      <c r="AO49" s="34"/>
      <c r="AP49" s="34"/>
      <c r="AQ49" s="33"/>
      <c r="AR49" s="34"/>
      <c r="AS49" s="34"/>
      <c r="AT49" s="34"/>
      <c r="AU49" s="33"/>
      <c r="AV49" s="34"/>
      <c r="AW49" s="34"/>
      <c r="AX49" s="34"/>
      <c r="AY49" s="33"/>
      <c r="AZ49" s="34"/>
      <c r="BA49" s="34"/>
      <c r="BB49" s="34"/>
      <c r="BC49" s="33"/>
      <c r="BD49" s="34"/>
      <c r="BE49" s="34"/>
      <c r="BF49" s="34"/>
      <c r="BG49" s="34"/>
      <c r="BH49" s="34"/>
      <c r="BI49" s="33"/>
      <c r="BJ49" s="34"/>
      <c r="BK49" s="34"/>
      <c r="BL49" s="34"/>
      <c r="BM49" s="33"/>
    </row>
    <row r="50" spans="1:65" ht="15.75" customHeight="1" x14ac:dyDescent="0.3">
      <c r="A50" s="33"/>
      <c r="B50" s="34"/>
      <c r="C50" s="34"/>
      <c r="D50" s="34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3"/>
      <c r="S50" s="34"/>
      <c r="T50" s="34"/>
      <c r="U50" s="34"/>
      <c r="V50" s="34"/>
      <c r="W50" s="33"/>
      <c r="X50" s="34"/>
      <c r="Y50" s="34"/>
      <c r="Z50" s="34"/>
      <c r="AA50" s="34"/>
      <c r="AB50" s="34"/>
      <c r="AC50" s="34"/>
      <c r="AD50" s="34"/>
      <c r="AE50" s="33"/>
      <c r="AF50" s="34"/>
      <c r="AG50" s="34"/>
      <c r="AH50" s="34"/>
      <c r="AI50" s="34"/>
      <c r="AJ50" s="34"/>
      <c r="AK50" s="34"/>
      <c r="AL50" s="34"/>
      <c r="AM50" s="33"/>
      <c r="AN50" s="34"/>
      <c r="AO50" s="34"/>
      <c r="AP50" s="34"/>
      <c r="AQ50" s="33"/>
      <c r="AR50" s="34"/>
      <c r="AS50" s="34"/>
      <c r="AT50" s="34"/>
      <c r="AU50" s="33"/>
      <c r="AV50" s="34"/>
      <c r="AW50" s="34"/>
      <c r="AX50" s="34"/>
      <c r="AY50" s="33"/>
      <c r="AZ50" s="34"/>
      <c r="BA50" s="34"/>
      <c r="BB50" s="34"/>
      <c r="BC50" s="33"/>
      <c r="BD50" s="34"/>
      <c r="BE50" s="34"/>
      <c r="BF50" s="34"/>
      <c r="BG50" s="34"/>
      <c r="BH50" s="34"/>
      <c r="BI50" s="33"/>
      <c r="BJ50" s="34"/>
      <c r="BK50" s="34"/>
      <c r="BL50" s="34"/>
      <c r="BM50" s="33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#REF!</xm:f>
          </x14:formula1>
          <xm:sqref>T3:T7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50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 x14ac:dyDescent="0.3"/>
  <cols>
    <col min="1" max="1" width="2.88671875" customWidth="1"/>
    <col min="2" max="4" width="32.44140625" customWidth="1"/>
    <col min="5" max="5" width="2.88671875" customWidth="1"/>
    <col min="6" max="9" width="12" customWidth="1"/>
    <col min="10" max="10" width="2.88671875" customWidth="1"/>
    <col min="11" max="17" width="12" customWidth="1"/>
    <col min="18" max="18" width="2.88671875" customWidth="1"/>
    <col min="19" max="20" width="12" customWidth="1"/>
    <col min="21" max="21" width="2.88671875" customWidth="1"/>
    <col min="22" max="24" width="12" customWidth="1"/>
    <col min="25" max="25" width="2.88671875" customWidth="1"/>
    <col min="26" max="28" width="12" customWidth="1"/>
    <col min="29" max="29" width="2.88671875" customWidth="1"/>
    <col min="30" max="32" width="12" hidden="1" customWidth="1"/>
    <col min="33" max="33" width="2.88671875" hidden="1" customWidth="1"/>
    <col min="34" max="36" width="12" customWidth="1"/>
    <col min="37" max="37" width="2.88671875" customWidth="1"/>
  </cols>
  <sheetData>
    <row r="1" spans="1:37" ht="13.8" x14ac:dyDescent="0.3">
      <c r="A1" s="25"/>
      <c r="B1" s="26"/>
      <c r="C1" s="26"/>
      <c r="D1" s="26"/>
      <c r="E1" s="25"/>
      <c r="F1" s="26"/>
      <c r="G1" s="26"/>
      <c r="H1" s="26"/>
      <c r="I1" s="26"/>
      <c r="J1" s="25"/>
      <c r="K1" s="26"/>
      <c r="L1" s="26"/>
      <c r="M1" s="26"/>
      <c r="N1" s="26"/>
      <c r="O1" s="26"/>
      <c r="P1" s="26"/>
      <c r="Q1" s="26"/>
      <c r="R1" s="25"/>
      <c r="S1" s="26"/>
      <c r="T1" s="26"/>
      <c r="U1" s="25"/>
      <c r="V1" s="26"/>
      <c r="W1" s="26"/>
      <c r="X1" s="26"/>
      <c r="Y1" s="25"/>
      <c r="Z1" s="27"/>
      <c r="AA1" s="27"/>
      <c r="AB1" s="27"/>
      <c r="AC1" s="25" t="s">
        <v>68</v>
      </c>
      <c r="AD1" s="27"/>
      <c r="AE1" s="27"/>
      <c r="AF1" s="27"/>
      <c r="AG1" s="25"/>
      <c r="AH1" s="27"/>
      <c r="AI1" s="27"/>
      <c r="AJ1" s="27"/>
      <c r="AK1" s="25"/>
    </row>
    <row r="2" spans="1:37" ht="51.75" customHeight="1" x14ac:dyDescent="0.3">
      <c r="A2" s="1"/>
      <c r="B2" s="2" t="s">
        <v>0</v>
      </c>
      <c r="C2" s="2" t="s">
        <v>1</v>
      </c>
      <c r="D2" s="2" t="s">
        <v>2</v>
      </c>
      <c r="E2" s="1"/>
      <c r="F2" s="3" t="s">
        <v>3</v>
      </c>
      <c r="G2" s="3" t="s">
        <v>4</v>
      </c>
      <c r="H2" s="3" t="s">
        <v>5</v>
      </c>
      <c r="I2" s="3" t="s">
        <v>6</v>
      </c>
      <c r="J2" s="1"/>
      <c r="K2" s="4" t="s">
        <v>7</v>
      </c>
      <c r="L2" s="3" t="s">
        <v>8</v>
      </c>
      <c r="M2" s="4" t="s">
        <v>9</v>
      </c>
      <c r="N2" s="3" t="s">
        <v>10</v>
      </c>
      <c r="O2" s="4" t="s">
        <v>11</v>
      </c>
      <c r="P2" s="4" t="s">
        <v>12</v>
      </c>
      <c r="Q2" s="4" t="s">
        <v>13</v>
      </c>
      <c r="R2" s="1"/>
      <c r="S2" s="2" t="s">
        <v>14</v>
      </c>
      <c r="T2" s="2" t="s">
        <v>20</v>
      </c>
      <c r="U2" s="1"/>
      <c r="V2" s="6" t="s">
        <v>21</v>
      </c>
      <c r="W2" s="7" t="s">
        <v>22</v>
      </c>
      <c r="X2" s="8" t="s">
        <v>23</v>
      </c>
      <c r="Y2" s="1"/>
      <c r="Z2" s="6" t="s">
        <v>24</v>
      </c>
      <c r="AA2" s="8" t="s">
        <v>25</v>
      </c>
      <c r="AB2" s="8" t="s">
        <v>26</v>
      </c>
      <c r="AC2" s="1"/>
      <c r="AD2" s="9" t="s">
        <v>27</v>
      </c>
      <c r="AE2" s="8" t="s">
        <v>28</v>
      </c>
      <c r="AF2" s="8" t="s">
        <v>29</v>
      </c>
      <c r="AG2" s="1"/>
      <c r="AH2" s="9" t="s">
        <v>30</v>
      </c>
      <c r="AI2" s="8" t="s">
        <v>31</v>
      </c>
      <c r="AJ2" s="8" t="s">
        <v>32</v>
      </c>
      <c r="AK2" s="1"/>
    </row>
    <row r="3" spans="1:37" ht="30.75" customHeight="1" x14ac:dyDescent="0.3">
      <c r="A3" s="10"/>
      <c r="B3" s="11" t="s">
        <v>0</v>
      </c>
      <c r="C3" s="12" t="s">
        <v>1</v>
      </c>
      <c r="D3" s="12" t="s">
        <v>33</v>
      </c>
      <c r="E3" s="10"/>
      <c r="F3" s="13" t="s">
        <v>34</v>
      </c>
      <c r="G3" s="14" t="s">
        <v>35</v>
      </c>
      <c r="H3" s="15"/>
      <c r="I3" s="36">
        <f>INT(S3*V3)</f>
        <v>0</v>
      </c>
      <c r="J3" s="10"/>
      <c r="K3" s="17">
        <f t="shared" ref="K3:K7" si="0">IFERROR((H3*I3),"-")</f>
        <v>0</v>
      </c>
      <c r="L3" s="18"/>
      <c r="M3" s="17">
        <f t="shared" ref="M3:M7" si="1">IFERROR(K3*(1-L3),"-")</f>
        <v>0</v>
      </c>
      <c r="N3" s="19"/>
      <c r="O3" s="17">
        <f t="shared" ref="O3:O7" si="2">IFERROR(M3*(1+N3),"-")</f>
        <v>0</v>
      </c>
      <c r="P3" s="17">
        <f t="shared" ref="P3:P8" si="3">IFERROR(O3*1.2,"-")</f>
        <v>0</v>
      </c>
      <c r="Q3" s="18" t="str">
        <f t="shared" ref="Q3:Q7" si="4">IFERROR(P3/$P$8,"-")</f>
        <v>-</v>
      </c>
      <c r="R3" s="10"/>
      <c r="S3" s="35"/>
      <c r="T3" s="18" t="str">
        <f>IFERROR(#REF!/#REF!,"-")</f>
        <v>-</v>
      </c>
      <c r="U3" s="10"/>
      <c r="V3" s="19">
        <v>6.6E-3</v>
      </c>
      <c r="W3" s="13">
        <f>IFERROR(ROUNDDOWN(S3*V3,0),"-")</f>
        <v>0</v>
      </c>
      <c r="X3" s="17" t="str">
        <f>IFERROR(P3/W3,"-")</f>
        <v>-</v>
      </c>
      <c r="Y3" s="10"/>
      <c r="Z3" s="19">
        <v>2E-3</v>
      </c>
      <c r="AA3" s="13">
        <f>IF(G3="CPI",AE3*Z3,IFERROR(ROUNDDOWN(W3*Z3,0),"-"))</f>
        <v>0</v>
      </c>
      <c r="AB3" s="17" t="str">
        <f>IFERROR(P3/AA3,"-")</f>
        <v>-</v>
      </c>
      <c r="AC3" s="10"/>
      <c r="AD3" s="19"/>
      <c r="AE3" s="13">
        <f>IF(G3="CPI",I3,0)</f>
        <v>0</v>
      </c>
      <c r="AF3" s="17" t="str">
        <f>IFERROR(P3/AE3,"-")</f>
        <v>-</v>
      </c>
      <c r="AG3" s="10"/>
      <c r="AH3" s="18" t="str">
        <f>IFERROR(P3/AJ3,"-")</f>
        <v>-</v>
      </c>
      <c r="AI3" s="15"/>
      <c r="AJ3" s="17">
        <v>0</v>
      </c>
      <c r="AK3" s="10"/>
    </row>
    <row r="4" spans="1:37" ht="30.75" customHeight="1" x14ac:dyDescent="0.3">
      <c r="A4" s="10"/>
      <c r="B4" s="11" t="s">
        <v>0</v>
      </c>
      <c r="C4" s="12" t="s">
        <v>1</v>
      </c>
      <c r="D4" s="12" t="s">
        <v>33</v>
      </c>
      <c r="E4" s="10"/>
      <c r="F4" s="13" t="s">
        <v>34</v>
      </c>
      <c r="G4" s="14" t="s">
        <v>35</v>
      </c>
      <c r="H4" s="15"/>
      <c r="I4" s="36">
        <f>INT(S4*V4)</f>
        <v>0</v>
      </c>
      <c r="J4" s="10"/>
      <c r="K4" s="17">
        <f t="shared" si="0"/>
        <v>0</v>
      </c>
      <c r="L4" s="18"/>
      <c r="M4" s="17">
        <f t="shared" si="1"/>
        <v>0</v>
      </c>
      <c r="N4" s="19"/>
      <c r="O4" s="17">
        <f t="shared" si="2"/>
        <v>0</v>
      </c>
      <c r="P4" s="17">
        <f t="shared" si="3"/>
        <v>0</v>
      </c>
      <c r="Q4" s="18" t="str">
        <f t="shared" si="4"/>
        <v>-</v>
      </c>
      <c r="R4" s="10"/>
      <c r="S4" s="35"/>
      <c r="T4" s="18" t="str">
        <f>IFERROR(#REF!/#REF!,"-")</f>
        <v>-</v>
      </c>
      <c r="U4" s="10"/>
      <c r="V4" s="19">
        <v>0.01</v>
      </c>
      <c r="W4" s="13">
        <f>IFERROR(ROUNDDOWN(S4*V4,0),"-")</f>
        <v>0</v>
      </c>
      <c r="X4" s="17" t="str">
        <f>IFERROR(P4/W4,"-")</f>
        <v>-</v>
      </c>
      <c r="Y4" s="10"/>
      <c r="Z4" s="19">
        <v>2E-3</v>
      </c>
      <c r="AA4" s="13">
        <f>IF(G4="CPI",AE4*Z4,IFERROR(ROUNDDOWN(W4*Z4,0),"-"))</f>
        <v>0</v>
      </c>
      <c r="AB4" s="17" t="str">
        <f>IFERROR(P4/AA4,"-")</f>
        <v>-</v>
      </c>
      <c r="AC4" s="10"/>
      <c r="AD4" s="19"/>
      <c r="AE4" s="13">
        <f>IF(G4="CPI",I4,0)</f>
        <v>0</v>
      </c>
      <c r="AF4" s="17" t="str">
        <f>IFERROR(P4/AE4,"-")</f>
        <v>-</v>
      </c>
      <c r="AG4" s="10"/>
      <c r="AH4" s="18" t="str">
        <f>IFERROR(P4/AJ4,"-")</f>
        <v>-</v>
      </c>
      <c r="AI4" s="15"/>
      <c r="AJ4" s="17">
        <v>0</v>
      </c>
      <c r="AK4" s="10"/>
    </row>
    <row r="5" spans="1:37" ht="30.75" customHeight="1" x14ac:dyDescent="0.3">
      <c r="A5" s="10"/>
      <c r="B5" s="11" t="s">
        <v>0</v>
      </c>
      <c r="C5" s="12" t="s">
        <v>1</v>
      </c>
      <c r="D5" s="12" t="s">
        <v>33</v>
      </c>
      <c r="E5" s="10"/>
      <c r="F5" s="13" t="s">
        <v>34</v>
      </c>
      <c r="G5" s="14" t="s">
        <v>35</v>
      </c>
      <c r="H5" s="15"/>
      <c r="I5" s="36">
        <f>INT(S5*V5)</f>
        <v>0</v>
      </c>
      <c r="J5" s="10"/>
      <c r="K5" s="17">
        <f t="shared" si="0"/>
        <v>0</v>
      </c>
      <c r="L5" s="18"/>
      <c r="M5" s="17">
        <f t="shared" si="1"/>
        <v>0</v>
      </c>
      <c r="N5" s="19"/>
      <c r="O5" s="17">
        <f t="shared" si="2"/>
        <v>0</v>
      </c>
      <c r="P5" s="17">
        <f t="shared" si="3"/>
        <v>0</v>
      </c>
      <c r="Q5" s="18" t="str">
        <f t="shared" si="4"/>
        <v>-</v>
      </c>
      <c r="R5" s="10"/>
      <c r="S5" s="35"/>
      <c r="T5" s="18" t="str">
        <f>IFERROR(#REF!/#REF!,"-")</f>
        <v>-</v>
      </c>
      <c r="U5" s="10"/>
      <c r="V5" s="19">
        <v>1.0999999999999999E-2</v>
      </c>
      <c r="W5" s="13">
        <f>IFERROR(ROUNDDOWN(S5*V5,0),"-")</f>
        <v>0</v>
      </c>
      <c r="X5" s="17" t="str">
        <f>IFERROR(P5/W5,"-")</f>
        <v>-</v>
      </c>
      <c r="Y5" s="10"/>
      <c r="Z5" s="19">
        <v>1.2E-2</v>
      </c>
      <c r="AA5" s="13">
        <f>IF(G5="CPI",AE5*Z5,IFERROR(ROUNDDOWN(W5*Z5,0),"-"))</f>
        <v>0</v>
      </c>
      <c r="AB5" s="17" t="str">
        <f>IFERROR(P5/AA5,"-")</f>
        <v>-</v>
      </c>
      <c r="AC5" s="10"/>
      <c r="AD5" s="19"/>
      <c r="AE5" s="13">
        <f>IF(G5="CPI",I5,0)</f>
        <v>0</v>
      </c>
      <c r="AF5" s="17" t="str">
        <f>IFERROR(P5/AE5,"-")</f>
        <v>-</v>
      </c>
      <c r="AG5" s="10"/>
      <c r="AH5" s="18" t="str">
        <f>IFERROR(P5/AJ5,"-")</f>
        <v>-</v>
      </c>
      <c r="AI5" s="15"/>
      <c r="AJ5" s="17">
        <v>0</v>
      </c>
      <c r="AK5" s="10"/>
    </row>
    <row r="6" spans="1:37" ht="30.75" customHeight="1" x14ac:dyDescent="0.3">
      <c r="A6" s="10"/>
      <c r="B6" s="11" t="s">
        <v>0</v>
      </c>
      <c r="C6" s="12" t="s">
        <v>1</v>
      </c>
      <c r="D6" s="12" t="s">
        <v>33</v>
      </c>
      <c r="E6" s="10"/>
      <c r="F6" s="13" t="s">
        <v>34</v>
      </c>
      <c r="G6" s="14" t="s">
        <v>35</v>
      </c>
      <c r="H6" s="15"/>
      <c r="I6" s="36">
        <f>INT(S6*V6)</f>
        <v>0</v>
      </c>
      <c r="J6" s="10"/>
      <c r="K6" s="17">
        <f t="shared" si="0"/>
        <v>0</v>
      </c>
      <c r="L6" s="18"/>
      <c r="M6" s="17">
        <f t="shared" si="1"/>
        <v>0</v>
      </c>
      <c r="N6" s="19"/>
      <c r="O6" s="17">
        <f t="shared" si="2"/>
        <v>0</v>
      </c>
      <c r="P6" s="17">
        <f t="shared" si="3"/>
        <v>0</v>
      </c>
      <c r="Q6" s="18" t="str">
        <f t="shared" si="4"/>
        <v>-</v>
      </c>
      <c r="R6" s="10"/>
      <c r="S6" s="35"/>
      <c r="T6" s="18" t="str">
        <f>IFERROR(#REF!/#REF!,"-")</f>
        <v>-</v>
      </c>
      <c r="U6" s="10"/>
      <c r="V6" s="19">
        <v>1.2999999999999999E-2</v>
      </c>
      <c r="W6" s="13">
        <f>IFERROR(ROUNDDOWN(S6*V6,0),"-")</f>
        <v>0</v>
      </c>
      <c r="X6" s="17" t="str">
        <f>IFERROR(P6/W6,"-")</f>
        <v>-</v>
      </c>
      <c r="Y6" s="10"/>
      <c r="Z6" s="19">
        <v>0.01</v>
      </c>
      <c r="AA6" s="13">
        <f>IF(G6="CPI",AE6*Z6,IFERROR(ROUNDDOWN(W6*Z6,0),"-"))</f>
        <v>0</v>
      </c>
      <c r="AB6" s="17" t="str">
        <f>IFERROR(P6/AA6,"-")</f>
        <v>-</v>
      </c>
      <c r="AC6" s="10"/>
      <c r="AD6" s="19"/>
      <c r="AE6" s="13">
        <f>IF(G6="CPI",I6,0)</f>
        <v>0</v>
      </c>
      <c r="AF6" s="17" t="str">
        <f>IFERROR(P6/AE6,"-")</f>
        <v>-</v>
      </c>
      <c r="AG6" s="10"/>
      <c r="AH6" s="18" t="str">
        <f>IFERROR(P6/AJ6,"-")</f>
        <v>-</v>
      </c>
      <c r="AI6" s="15"/>
      <c r="AJ6" s="17">
        <v>0</v>
      </c>
      <c r="AK6" s="10"/>
    </row>
    <row r="7" spans="1:37" ht="30.75" customHeight="1" x14ac:dyDescent="0.3">
      <c r="A7" s="10"/>
      <c r="B7" s="11" t="s">
        <v>0</v>
      </c>
      <c r="C7" s="12" t="s">
        <v>1</v>
      </c>
      <c r="D7" s="12" t="s">
        <v>33</v>
      </c>
      <c r="E7" s="10"/>
      <c r="F7" s="13" t="s">
        <v>34</v>
      </c>
      <c r="G7" s="14" t="s">
        <v>35</v>
      </c>
      <c r="H7" s="20"/>
      <c r="I7" s="36">
        <f>INT(S7*V7)</f>
        <v>0</v>
      </c>
      <c r="J7" s="10"/>
      <c r="K7" s="17">
        <f t="shared" si="0"/>
        <v>0</v>
      </c>
      <c r="L7" s="18"/>
      <c r="M7" s="17">
        <f t="shared" si="1"/>
        <v>0</v>
      </c>
      <c r="N7" s="19"/>
      <c r="O7" s="17">
        <f t="shared" si="2"/>
        <v>0</v>
      </c>
      <c r="P7" s="17">
        <f t="shared" si="3"/>
        <v>0</v>
      </c>
      <c r="Q7" s="18" t="str">
        <f t="shared" si="4"/>
        <v>-</v>
      </c>
      <c r="R7" s="10"/>
      <c r="S7" s="35"/>
      <c r="T7" s="18" t="str">
        <f>IFERROR(#REF!/#REF!,"-")</f>
        <v>-</v>
      </c>
      <c r="U7" s="10"/>
      <c r="V7" s="19">
        <v>1.2999999999999999E-2</v>
      </c>
      <c r="W7" s="13">
        <f>IFERROR(ROUNDDOWN(S7*V7,0),"-")</f>
        <v>0</v>
      </c>
      <c r="X7" s="17" t="str">
        <f>IFERROR(P7/W7,"-")</f>
        <v>-</v>
      </c>
      <c r="Y7" s="10"/>
      <c r="Z7" s="19">
        <v>0.01</v>
      </c>
      <c r="AA7" s="13">
        <f>IF(G7="CPI",AE7*Z7,IFERROR(ROUNDDOWN(W7*Z7,0),"-"))</f>
        <v>0</v>
      </c>
      <c r="AB7" s="17" t="str">
        <f>IFERROR(P7/AA7,"-")</f>
        <v>-</v>
      </c>
      <c r="AC7" s="10"/>
      <c r="AD7" s="19"/>
      <c r="AE7" s="13">
        <f>IF(G7="CPI",I7,0)</f>
        <v>0</v>
      </c>
      <c r="AF7" s="17" t="str">
        <f>IFERROR(P7/AE7,"-")</f>
        <v>-</v>
      </c>
      <c r="AG7" s="10"/>
      <c r="AH7" s="18" t="str">
        <f>IFERROR(P7/AJ7,"-")</f>
        <v>-</v>
      </c>
      <c r="AI7" s="15"/>
      <c r="AJ7" s="17" t="s">
        <v>38</v>
      </c>
      <c r="AK7" s="10"/>
    </row>
    <row r="8" spans="1:37" ht="17.25" customHeight="1" x14ac:dyDescent="0.3">
      <c r="A8" s="21"/>
      <c r="B8" s="6" t="s">
        <v>37</v>
      </c>
      <c r="C8" s="9" t="s">
        <v>38</v>
      </c>
      <c r="D8" s="9" t="s">
        <v>38</v>
      </c>
      <c r="E8" s="21"/>
      <c r="F8" s="9" t="s">
        <v>38</v>
      </c>
      <c r="G8" s="6" t="s">
        <v>38</v>
      </c>
      <c r="H8" s="6" t="s">
        <v>38</v>
      </c>
      <c r="I8" s="6" t="s">
        <v>38</v>
      </c>
      <c r="J8" s="21"/>
      <c r="K8" s="22">
        <v>0</v>
      </c>
      <c r="L8" s="6" t="s">
        <v>38</v>
      </c>
      <c r="M8" s="22">
        <v>0</v>
      </c>
      <c r="N8" s="9" t="s">
        <v>38</v>
      </c>
      <c r="O8" s="22">
        <f>IFERROR(SUM(O3:O7),"-")</f>
        <v>0</v>
      </c>
      <c r="P8" s="22">
        <f t="shared" si="3"/>
        <v>0</v>
      </c>
      <c r="Q8" s="23">
        <v>0</v>
      </c>
      <c r="R8" s="21"/>
      <c r="S8" s="24">
        <f>IFERROR(SUM(S3:S7),"-")</f>
        <v>0</v>
      </c>
      <c r="T8" s="6" t="s">
        <v>38</v>
      </c>
      <c r="U8" s="21"/>
      <c r="V8" s="23" t="str">
        <f>IFERROR(W8/S8,"-")</f>
        <v>-</v>
      </c>
      <c r="W8" s="24">
        <f>IFERROR(SUM(W3:W7),"-")</f>
        <v>0</v>
      </c>
      <c r="X8" s="22" t="str">
        <f>IFERROR(P8/W8,"-")</f>
        <v>-</v>
      </c>
      <c r="Y8" s="21"/>
      <c r="Z8" s="23" t="str">
        <f>IFERROR(AA8/W8,"-")</f>
        <v>-</v>
      </c>
      <c r="AA8" s="24">
        <v>0</v>
      </c>
      <c r="AB8" s="22" t="str">
        <f>IFERROR(P8/AA8,"-")</f>
        <v>-</v>
      </c>
      <c r="AC8" s="21"/>
      <c r="AD8" s="23" t="str">
        <f>IFERROR(AE8/W8,"-")</f>
        <v>-</v>
      </c>
      <c r="AE8" s="24">
        <v>0</v>
      </c>
      <c r="AF8" s="22" t="str">
        <f>IFERROR(L8/AE8,"-")</f>
        <v>-</v>
      </c>
      <c r="AG8" s="21"/>
      <c r="AH8" s="23" t="str">
        <f>IFERROR(P8/AJ8,"-")</f>
        <v>-</v>
      </c>
      <c r="AI8" s="22" t="str">
        <f>IFERROR(AJ8/#REF!,"-")</f>
        <v>-</v>
      </c>
      <c r="AJ8" s="22">
        <f>IFERROR(SUM(AJ3:AJ7),"-")</f>
        <v>0</v>
      </c>
      <c r="AK8" s="21"/>
    </row>
    <row r="9" spans="1:37" ht="13.8" x14ac:dyDescent="0.3">
      <c r="A9" s="25"/>
      <c r="B9" s="26"/>
      <c r="C9" s="26"/>
      <c r="D9" s="26"/>
      <c r="E9" s="25"/>
      <c r="F9" s="26"/>
      <c r="G9" s="26"/>
      <c r="H9" s="26"/>
      <c r="I9" s="26"/>
      <c r="J9" s="25"/>
      <c r="K9" s="26"/>
      <c r="L9" s="26"/>
      <c r="M9" s="26"/>
      <c r="N9" s="26"/>
      <c r="O9" s="26"/>
      <c r="P9" s="26"/>
      <c r="Q9" s="26"/>
      <c r="R9" s="25"/>
      <c r="S9" s="26"/>
      <c r="T9" s="26"/>
      <c r="U9" s="25"/>
      <c r="V9" s="26"/>
      <c r="W9" s="26"/>
      <c r="X9" s="26"/>
      <c r="Y9" s="25"/>
      <c r="Z9" s="27"/>
      <c r="AA9" s="27"/>
      <c r="AB9" s="27"/>
      <c r="AC9" s="25"/>
      <c r="AD9" s="27"/>
      <c r="AE9" s="27"/>
      <c r="AF9" s="27"/>
      <c r="AG9" s="25"/>
      <c r="AH9" s="27"/>
      <c r="AI9" s="27"/>
      <c r="AJ9" s="27"/>
      <c r="AK9" s="25"/>
    </row>
    <row r="10" spans="1:37" ht="51.75" customHeight="1" x14ac:dyDescent="0.3">
      <c r="A10" s="1"/>
      <c r="B10" s="2" t="s">
        <v>0</v>
      </c>
      <c r="C10" s="2" t="s">
        <v>1</v>
      </c>
      <c r="D10" s="2" t="s">
        <v>2</v>
      </c>
      <c r="E10" s="1"/>
      <c r="F10" s="3" t="s">
        <v>3</v>
      </c>
      <c r="G10" s="2" t="s">
        <v>69</v>
      </c>
      <c r="H10" s="2" t="s">
        <v>70</v>
      </c>
      <c r="I10" s="2" t="s">
        <v>71</v>
      </c>
      <c r="J10" s="1"/>
      <c r="K10" s="4" t="s">
        <v>7</v>
      </c>
      <c r="L10" s="3" t="s">
        <v>8</v>
      </c>
      <c r="M10" s="4" t="s">
        <v>9</v>
      </c>
      <c r="N10" s="3" t="s">
        <v>10</v>
      </c>
      <c r="O10" s="5" t="s">
        <v>11</v>
      </c>
      <c r="P10" s="5" t="s">
        <v>12</v>
      </c>
      <c r="Q10" s="4" t="s">
        <v>13</v>
      </c>
      <c r="R10" s="1"/>
      <c r="S10" s="2" t="s">
        <v>14</v>
      </c>
      <c r="T10" s="2" t="s">
        <v>20</v>
      </c>
      <c r="U10" s="1"/>
      <c r="V10" s="6" t="s">
        <v>21</v>
      </c>
      <c r="W10" s="7" t="s">
        <v>22</v>
      </c>
      <c r="X10" s="7" t="s">
        <v>23</v>
      </c>
      <c r="Y10" s="1"/>
      <c r="Z10" s="6" t="s">
        <v>24</v>
      </c>
      <c r="AA10" s="8" t="s">
        <v>25</v>
      </c>
      <c r="AB10" s="8" t="s">
        <v>26</v>
      </c>
      <c r="AC10" s="1"/>
      <c r="AD10" s="9" t="s">
        <v>27</v>
      </c>
      <c r="AE10" s="8" t="s">
        <v>28</v>
      </c>
      <c r="AF10" s="8" t="s">
        <v>59</v>
      </c>
      <c r="AG10" s="1"/>
      <c r="AH10" s="9" t="s">
        <v>30</v>
      </c>
      <c r="AI10" s="8" t="s">
        <v>31</v>
      </c>
      <c r="AJ10" s="8" t="s">
        <v>32</v>
      </c>
      <c r="AK10" s="1"/>
    </row>
    <row r="11" spans="1:37" ht="30.75" customHeight="1" x14ac:dyDescent="0.3">
      <c r="A11" s="10"/>
      <c r="B11" s="11" t="s">
        <v>0</v>
      </c>
      <c r="C11" s="12" t="s">
        <v>1</v>
      </c>
      <c r="D11" s="12" t="s">
        <v>33</v>
      </c>
      <c r="E11" s="10"/>
      <c r="F11" s="13" t="s">
        <v>72</v>
      </c>
      <c r="G11" s="14" t="s">
        <v>35</v>
      </c>
      <c r="H11" s="15"/>
      <c r="I11" s="36">
        <f>INT(S11*V11)</f>
        <v>0</v>
      </c>
      <c r="J11" s="10"/>
      <c r="K11" s="17">
        <f t="shared" ref="K11:K15" si="5">IFERROR((H11*I11),"-")</f>
        <v>0</v>
      </c>
      <c r="L11" s="18"/>
      <c r="M11" s="17">
        <f t="shared" ref="M11:M15" si="6">IFERROR(K11*(1-L11),"-")</f>
        <v>0</v>
      </c>
      <c r="N11" s="19"/>
      <c r="O11" s="17">
        <f t="shared" ref="O11:O15" si="7">IFERROR(M11*(1+N11),"-")</f>
        <v>0</v>
      </c>
      <c r="P11" s="17">
        <f t="shared" ref="P11:P16" si="8">IFERROR(O11*1.2,"-")</f>
        <v>0</v>
      </c>
      <c r="Q11" s="18" t="str">
        <f t="shared" ref="Q11:Q15" si="9">IFERROR(P11/$P$8,"-")</f>
        <v>-</v>
      </c>
      <c r="R11" s="10"/>
      <c r="S11" s="35"/>
      <c r="T11" s="18" t="str">
        <f>IFERROR(#REF!/#REF!,"-")</f>
        <v>-</v>
      </c>
      <c r="U11" s="10"/>
      <c r="V11" s="19"/>
      <c r="W11" s="13">
        <f>IFERROR(ROUNDDOWN(S11*V11,0),"-")</f>
        <v>0</v>
      </c>
      <c r="X11" s="17" t="str">
        <f>IFERROR(P11/W11,"-")</f>
        <v>-</v>
      </c>
      <c r="Y11" s="10"/>
      <c r="Z11" s="19"/>
      <c r="AA11" s="13">
        <f>IF(G11="CPI",AE11*Z11,IFERROR(ROUNDDOWN(W11*Z11,0),"-"))</f>
        <v>0</v>
      </c>
      <c r="AB11" s="17" t="str">
        <f>IFERROR(P11/AA11,"-")</f>
        <v>-</v>
      </c>
      <c r="AC11" s="10"/>
      <c r="AD11" s="19"/>
      <c r="AE11" s="13">
        <f>IF(G11="CPI",I11,0)</f>
        <v>0</v>
      </c>
      <c r="AF11" s="17" t="str">
        <f>IFERROR(P11/AE11,"-")</f>
        <v>-</v>
      </c>
      <c r="AG11" s="10"/>
      <c r="AH11" s="18" t="str">
        <f>IFERROR(P11/AJ11,"-")</f>
        <v>-</v>
      </c>
      <c r="AI11" s="15"/>
      <c r="AJ11" s="17">
        <v>0</v>
      </c>
      <c r="AK11" s="10"/>
    </row>
    <row r="12" spans="1:37" ht="30.75" customHeight="1" x14ac:dyDescent="0.3">
      <c r="A12" s="10"/>
      <c r="B12" s="11" t="s">
        <v>0</v>
      </c>
      <c r="C12" s="12" t="s">
        <v>1</v>
      </c>
      <c r="D12" s="12" t="s">
        <v>33</v>
      </c>
      <c r="E12" s="10"/>
      <c r="F12" s="13" t="s">
        <v>72</v>
      </c>
      <c r="G12" s="14" t="s">
        <v>35</v>
      </c>
      <c r="H12" s="15"/>
      <c r="I12" s="36">
        <f>INT(S12*V12)</f>
        <v>0</v>
      </c>
      <c r="J12" s="10"/>
      <c r="K12" s="17">
        <f t="shared" si="5"/>
        <v>0</v>
      </c>
      <c r="L12" s="18"/>
      <c r="M12" s="17">
        <f t="shared" si="6"/>
        <v>0</v>
      </c>
      <c r="N12" s="19"/>
      <c r="O12" s="17">
        <f t="shared" si="7"/>
        <v>0</v>
      </c>
      <c r="P12" s="17">
        <f t="shared" si="8"/>
        <v>0</v>
      </c>
      <c r="Q12" s="18" t="str">
        <f t="shared" si="9"/>
        <v>-</v>
      </c>
      <c r="R12" s="10"/>
      <c r="S12" s="35"/>
      <c r="T12" s="18" t="str">
        <f>IFERROR(#REF!/#REF!,"-")</f>
        <v>-</v>
      </c>
      <c r="U12" s="10"/>
      <c r="V12" s="19">
        <v>0.01</v>
      </c>
      <c r="W12" s="13">
        <f>IFERROR(ROUNDDOWN(S12*V12,0),"-")</f>
        <v>0</v>
      </c>
      <c r="X12" s="17" t="str">
        <f>IFERROR(P12/W12,"-")</f>
        <v>-</v>
      </c>
      <c r="Y12" s="10"/>
      <c r="Z12" s="19">
        <v>0.02</v>
      </c>
      <c r="AA12" s="13">
        <f>IF(G12="CPI",AE12*Z12,IFERROR(ROUNDDOWN(W12*Z12,0),"-"))</f>
        <v>0</v>
      </c>
      <c r="AB12" s="17" t="str">
        <f>IFERROR(P12/AA12,"-")</f>
        <v>-</v>
      </c>
      <c r="AC12" s="10"/>
      <c r="AD12" s="19"/>
      <c r="AE12" s="13">
        <f>IF(G12="CPI",I12,0)</f>
        <v>0</v>
      </c>
      <c r="AF12" s="17" t="str">
        <f>IFERROR(P12/AE12,"-")</f>
        <v>-</v>
      </c>
      <c r="AG12" s="10"/>
      <c r="AH12" s="18" t="str">
        <f>IFERROR(P12/AJ12,"-")</f>
        <v>-</v>
      </c>
      <c r="AI12" s="15"/>
      <c r="AJ12" s="17">
        <v>0</v>
      </c>
      <c r="AK12" s="10"/>
    </row>
    <row r="13" spans="1:37" ht="30.75" customHeight="1" x14ac:dyDescent="0.3">
      <c r="A13" s="10"/>
      <c r="B13" s="11" t="s">
        <v>0</v>
      </c>
      <c r="C13" s="12" t="s">
        <v>1</v>
      </c>
      <c r="D13" s="12" t="s">
        <v>33</v>
      </c>
      <c r="E13" s="10"/>
      <c r="F13" s="13" t="s">
        <v>72</v>
      </c>
      <c r="G13" s="14" t="s">
        <v>35</v>
      </c>
      <c r="H13" s="15"/>
      <c r="I13" s="36">
        <f>INT(S13*V13)</f>
        <v>0</v>
      </c>
      <c r="J13" s="10"/>
      <c r="K13" s="17">
        <f t="shared" si="5"/>
        <v>0</v>
      </c>
      <c r="L13" s="18"/>
      <c r="M13" s="17">
        <f t="shared" si="6"/>
        <v>0</v>
      </c>
      <c r="N13" s="19"/>
      <c r="O13" s="17">
        <f t="shared" si="7"/>
        <v>0</v>
      </c>
      <c r="P13" s="17">
        <f t="shared" si="8"/>
        <v>0</v>
      </c>
      <c r="Q13" s="18" t="str">
        <f t="shared" si="9"/>
        <v>-</v>
      </c>
      <c r="R13" s="10"/>
      <c r="S13" s="35"/>
      <c r="T13" s="18" t="str">
        <f>IFERROR(#REF!/#REF!,"-")</f>
        <v>-</v>
      </c>
      <c r="U13" s="10"/>
      <c r="V13" s="19"/>
      <c r="W13" s="13">
        <f>IFERROR(ROUNDDOWN(S13*V13,0),"-")</f>
        <v>0</v>
      </c>
      <c r="X13" s="17" t="str">
        <f>IFERROR(P13/W13,"-")</f>
        <v>-</v>
      </c>
      <c r="Y13" s="10"/>
      <c r="Z13" s="19"/>
      <c r="AA13" s="13">
        <f>IF(G13="CPI",AE13*Z13,IFERROR(ROUNDDOWN(W13*Z13,0),"-"))</f>
        <v>0</v>
      </c>
      <c r="AB13" s="17" t="str">
        <f>IFERROR(P13/AA13,"-")</f>
        <v>-</v>
      </c>
      <c r="AC13" s="10"/>
      <c r="AD13" s="19"/>
      <c r="AE13" s="13">
        <f>IF(G13="CPI",I13,0)</f>
        <v>0</v>
      </c>
      <c r="AF13" s="17" t="str">
        <f>IFERROR(P13/AE13,"-")</f>
        <v>-</v>
      </c>
      <c r="AG13" s="10"/>
      <c r="AH13" s="18" t="str">
        <f>IFERROR(P13/AJ13,"-")</f>
        <v>-</v>
      </c>
      <c r="AI13" s="15"/>
      <c r="AJ13" s="17">
        <v>0</v>
      </c>
      <c r="AK13" s="10"/>
    </row>
    <row r="14" spans="1:37" ht="30.75" customHeight="1" x14ac:dyDescent="0.3">
      <c r="A14" s="10"/>
      <c r="B14" s="11" t="s">
        <v>0</v>
      </c>
      <c r="C14" s="12" t="s">
        <v>1</v>
      </c>
      <c r="D14" s="12" t="s">
        <v>33</v>
      </c>
      <c r="E14" s="10"/>
      <c r="F14" s="13" t="s">
        <v>72</v>
      </c>
      <c r="G14" s="14" t="s">
        <v>35</v>
      </c>
      <c r="H14" s="15"/>
      <c r="I14" s="36">
        <f>INT(S14*V14)</f>
        <v>0</v>
      </c>
      <c r="J14" s="10"/>
      <c r="K14" s="17">
        <f t="shared" si="5"/>
        <v>0</v>
      </c>
      <c r="L14" s="18"/>
      <c r="M14" s="17">
        <f t="shared" si="6"/>
        <v>0</v>
      </c>
      <c r="N14" s="19"/>
      <c r="O14" s="17">
        <f t="shared" si="7"/>
        <v>0</v>
      </c>
      <c r="P14" s="17">
        <f t="shared" si="8"/>
        <v>0</v>
      </c>
      <c r="Q14" s="18" t="str">
        <f t="shared" si="9"/>
        <v>-</v>
      </c>
      <c r="R14" s="10"/>
      <c r="S14" s="35"/>
      <c r="T14" s="18" t="str">
        <f>IFERROR(#REF!/#REF!,"-")</f>
        <v>-</v>
      </c>
      <c r="U14" s="10"/>
      <c r="V14" s="19"/>
      <c r="W14" s="13">
        <f>IFERROR(ROUNDDOWN(S14*V14,0),"-")</f>
        <v>0</v>
      </c>
      <c r="X14" s="17" t="str">
        <f>IFERROR(P14/W14,"-")</f>
        <v>-</v>
      </c>
      <c r="Y14" s="10"/>
      <c r="Z14" s="19"/>
      <c r="AA14" s="13">
        <f>IF(G14="CPI",AE14*Z14,IFERROR(ROUNDDOWN(W14*Z14,0),"-"))</f>
        <v>0</v>
      </c>
      <c r="AB14" s="17" t="str">
        <f>IFERROR(P14/AA14,"-")</f>
        <v>-</v>
      </c>
      <c r="AC14" s="10"/>
      <c r="AD14" s="19"/>
      <c r="AE14" s="13">
        <f>IF(G14="CPI",I14,0)</f>
        <v>0</v>
      </c>
      <c r="AF14" s="17" t="str">
        <f>IFERROR(P14/AE14,"-")</f>
        <v>-</v>
      </c>
      <c r="AG14" s="10"/>
      <c r="AH14" s="18" t="str">
        <f>IFERROR(P14/AJ14,"-")</f>
        <v>-</v>
      </c>
      <c r="AI14" s="15"/>
      <c r="AJ14" s="17">
        <v>0</v>
      </c>
      <c r="AK14" s="10"/>
    </row>
    <row r="15" spans="1:37" ht="30.75" customHeight="1" x14ac:dyDescent="0.3">
      <c r="A15" s="10"/>
      <c r="B15" s="11" t="s">
        <v>0</v>
      </c>
      <c r="C15" s="12" t="s">
        <v>1</v>
      </c>
      <c r="D15" s="12" t="s">
        <v>33</v>
      </c>
      <c r="E15" s="10"/>
      <c r="F15" s="13" t="s">
        <v>72</v>
      </c>
      <c r="G15" s="14" t="s">
        <v>35</v>
      </c>
      <c r="H15" s="15"/>
      <c r="I15" s="36">
        <f>INT(S15*V15)</f>
        <v>0</v>
      </c>
      <c r="J15" s="10"/>
      <c r="K15" s="17">
        <f t="shared" si="5"/>
        <v>0</v>
      </c>
      <c r="L15" s="18"/>
      <c r="M15" s="17">
        <f t="shared" si="6"/>
        <v>0</v>
      </c>
      <c r="N15" s="19"/>
      <c r="O15" s="17">
        <f t="shared" si="7"/>
        <v>0</v>
      </c>
      <c r="P15" s="17">
        <f t="shared" si="8"/>
        <v>0</v>
      </c>
      <c r="Q15" s="18" t="str">
        <f t="shared" si="9"/>
        <v>-</v>
      </c>
      <c r="R15" s="10"/>
      <c r="S15" s="35"/>
      <c r="T15" s="18" t="str">
        <f>IFERROR(#REF!/#REF!,"-")</f>
        <v>-</v>
      </c>
      <c r="U15" s="10"/>
      <c r="V15" s="19"/>
      <c r="W15" s="13">
        <f>IFERROR(ROUNDDOWN(S15*V15,0),"-")</f>
        <v>0</v>
      </c>
      <c r="X15" s="17" t="str">
        <f>IFERROR(P15/W15,"-")</f>
        <v>-</v>
      </c>
      <c r="Y15" s="10"/>
      <c r="Z15" s="19"/>
      <c r="AA15" s="13">
        <f>IF(G15="CPI",AE15*Z15,IFERROR(ROUNDDOWN(W15*Z15,0),"-"))</f>
        <v>0</v>
      </c>
      <c r="AB15" s="17" t="str">
        <f>IFERROR(P15/AA15,"-")</f>
        <v>-</v>
      </c>
      <c r="AC15" s="10"/>
      <c r="AD15" s="19"/>
      <c r="AE15" s="13">
        <f>IF(G15="CPI",I15,0)</f>
        <v>0</v>
      </c>
      <c r="AF15" s="17" t="str">
        <f>IFERROR(P15/AE15,"-")</f>
        <v>-</v>
      </c>
      <c r="AG15" s="10"/>
      <c r="AH15" s="18" t="str">
        <f>IFERROR(P15/AJ15,"-")</f>
        <v>-</v>
      </c>
      <c r="AI15" s="15"/>
      <c r="AJ15" s="17">
        <v>0</v>
      </c>
      <c r="AK15" s="10"/>
    </row>
    <row r="16" spans="1:37" ht="17.25" customHeight="1" x14ac:dyDescent="0.3">
      <c r="A16" s="21"/>
      <c r="B16" s="6" t="s">
        <v>37</v>
      </c>
      <c r="C16" s="9" t="s">
        <v>38</v>
      </c>
      <c r="D16" s="9" t="s">
        <v>38</v>
      </c>
      <c r="E16" s="21"/>
      <c r="F16" s="9" t="s">
        <v>38</v>
      </c>
      <c r="G16" s="6" t="s">
        <v>38</v>
      </c>
      <c r="H16" s="6" t="s">
        <v>38</v>
      </c>
      <c r="I16" s="6" t="s">
        <v>38</v>
      </c>
      <c r="J16" s="21"/>
      <c r="K16" s="22">
        <v>300</v>
      </c>
      <c r="L16" s="6" t="s">
        <v>38</v>
      </c>
      <c r="M16" s="22">
        <v>300</v>
      </c>
      <c r="N16" s="9" t="s">
        <v>38</v>
      </c>
      <c r="O16" s="22">
        <f>IFERROR(SUM(O11:O15),"-")</f>
        <v>0</v>
      </c>
      <c r="P16" s="22">
        <f t="shared" si="8"/>
        <v>0</v>
      </c>
      <c r="Q16" s="23">
        <v>0</v>
      </c>
      <c r="R16" s="21"/>
      <c r="S16" s="24">
        <f>IFERROR(SUM(S11:S15),"-")</f>
        <v>0</v>
      </c>
      <c r="T16" s="6" t="s">
        <v>38</v>
      </c>
      <c r="U16" s="21"/>
      <c r="V16" s="23" t="str">
        <f>IFERROR(W16/S16,"-")</f>
        <v>-</v>
      </c>
      <c r="W16" s="24">
        <f>IFERROR(SUM(W11:W15),"-")</f>
        <v>0</v>
      </c>
      <c r="X16" s="22" t="str">
        <f>IFERROR(P16/W16,"-")</f>
        <v>-</v>
      </c>
      <c r="Y16" s="21"/>
      <c r="Z16" s="23" t="str">
        <f>IFERROR(AA16/W16,"-")</f>
        <v>-</v>
      </c>
      <c r="AA16" s="24">
        <v>0</v>
      </c>
      <c r="AB16" s="22" t="str">
        <f>IFERROR(P16/AA16,"-")</f>
        <v>-</v>
      </c>
      <c r="AC16" s="21"/>
      <c r="AD16" s="23" t="str">
        <f>IFERROR(AE16/W16,"-")</f>
        <v>-</v>
      </c>
      <c r="AE16" s="24">
        <v>0</v>
      </c>
      <c r="AF16" s="22" t="str">
        <f>IFERROR(L16/AE16,"-")</f>
        <v>-</v>
      </c>
      <c r="AG16" s="21"/>
      <c r="AH16" s="23" t="str">
        <f>IFERROR(P16/AJ16,"-")</f>
        <v>-</v>
      </c>
      <c r="AI16" s="22" t="str">
        <f>IFERROR(AJ16/#REF!,"-")</f>
        <v>-</v>
      </c>
      <c r="AJ16" s="22">
        <f>IFERROR(SUM(AJ11:AJ15),"-")</f>
        <v>0</v>
      </c>
      <c r="AK16" s="21"/>
    </row>
    <row r="17" spans="1:37" ht="15.75" customHeight="1" x14ac:dyDescent="0.3">
      <c r="A17" s="25"/>
      <c r="B17" s="26"/>
      <c r="C17" s="26"/>
      <c r="D17" s="26"/>
      <c r="E17" s="25"/>
      <c r="F17" s="26"/>
      <c r="G17" s="26"/>
      <c r="H17" s="26"/>
      <c r="I17" s="26"/>
      <c r="J17" s="25"/>
      <c r="K17" s="26"/>
      <c r="L17" s="26"/>
      <c r="M17" s="26"/>
      <c r="N17" s="26"/>
      <c r="O17" s="26"/>
      <c r="P17" s="26"/>
      <c r="Q17" s="26"/>
      <c r="R17" s="25"/>
      <c r="S17" s="26"/>
      <c r="T17" s="26"/>
      <c r="U17" s="25"/>
      <c r="V17" s="26"/>
      <c r="W17" s="26"/>
      <c r="X17" s="26"/>
      <c r="Y17" s="25"/>
      <c r="Z17" s="26"/>
      <c r="AA17" s="26"/>
      <c r="AB17" s="26"/>
      <c r="AC17" s="25"/>
      <c r="AD17" s="26"/>
      <c r="AE17" s="26"/>
      <c r="AF17" s="26"/>
      <c r="AG17" s="25"/>
      <c r="AH17" s="26"/>
      <c r="AI17" s="26"/>
      <c r="AJ17" s="26"/>
      <c r="AK17" s="25"/>
    </row>
    <row r="18" spans="1:37" ht="51.75" customHeight="1" x14ac:dyDescent="0.3">
      <c r="A18" s="1"/>
      <c r="B18" s="2" t="s">
        <v>0</v>
      </c>
      <c r="C18" s="2" t="s">
        <v>1</v>
      </c>
      <c r="D18" s="2" t="s">
        <v>2</v>
      </c>
      <c r="E18" s="1"/>
      <c r="F18" s="3" t="s">
        <v>3</v>
      </c>
      <c r="G18" s="2" t="s">
        <v>69</v>
      </c>
      <c r="H18" s="2" t="s">
        <v>70</v>
      </c>
      <c r="I18" s="2" t="s">
        <v>71</v>
      </c>
      <c r="J18" s="1"/>
      <c r="K18" s="4" t="s">
        <v>7</v>
      </c>
      <c r="L18" s="3" t="s">
        <v>8</v>
      </c>
      <c r="M18" s="4" t="s">
        <v>9</v>
      </c>
      <c r="N18" s="3" t="s">
        <v>10</v>
      </c>
      <c r="O18" s="5" t="s">
        <v>11</v>
      </c>
      <c r="P18" s="5" t="s">
        <v>12</v>
      </c>
      <c r="Q18" s="4" t="s">
        <v>13</v>
      </c>
      <c r="R18" s="1"/>
      <c r="S18" s="2" t="s">
        <v>14</v>
      </c>
      <c r="T18" s="2" t="s">
        <v>20</v>
      </c>
      <c r="U18" s="1"/>
      <c r="V18" s="6" t="s">
        <v>21</v>
      </c>
      <c r="W18" s="7" t="s">
        <v>22</v>
      </c>
      <c r="X18" s="7" t="s">
        <v>23</v>
      </c>
      <c r="Y18" s="1"/>
      <c r="Z18" s="6" t="s">
        <v>24</v>
      </c>
      <c r="AA18" s="8" t="s">
        <v>25</v>
      </c>
      <c r="AB18" s="8" t="s">
        <v>26</v>
      </c>
      <c r="AC18" s="1"/>
      <c r="AD18" s="9" t="s">
        <v>27</v>
      </c>
      <c r="AE18" s="8" t="s">
        <v>28</v>
      </c>
      <c r="AF18" s="8" t="s">
        <v>59</v>
      </c>
      <c r="AG18" s="1"/>
      <c r="AH18" s="9" t="s">
        <v>30</v>
      </c>
      <c r="AI18" s="8" t="s">
        <v>31</v>
      </c>
      <c r="AJ18" s="8" t="s">
        <v>32</v>
      </c>
      <c r="AK18" s="1"/>
    </row>
    <row r="19" spans="1:37" ht="30.75" customHeight="1" x14ac:dyDescent="0.3">
      <c r="A19" s="10"/>
      <c r="B19" s="11" t="s">
        <v>0</v>
      </c>
      <c r="C19" s="12" t="s">
        <v>1</v>
      </c>
      <c r="D19" s="12" t="s">
        <v>33</v>
      </c>
      <c r="E19" s="10"/>
      <c r="F19" s="13" t="s">
        <v>73</v>
      </c>
      <c r="G19" s="14" t="s">
        <v>74</v>
      </c>
      <c r="H19" s="15"/>
      <c r="I19" s="36">
        <f>INT(S19*V19)</f>
        <v>0</v>
      </c>
      <c r="J19" s="10"/>
      <c r="K19" s="17">
        <f t="shared" ref="K19:K23" si="10">IFERROR((H19*I19),"-")</f>
        <v>0</v>
      </c>
      <c r="L19" s="18"/>
      <c r="M19" s="17">
        <f t="shared" ref="M19:M23" si="11">IFERROR(K19*(1-L19),"-")</f>
        <v>0</v>
      </c>
      <c r="N19" s="19"/>
      <c r="O19" s="17">
        <f t="shared" ref="O19:O23" si="12">IFERROR(M19*(1+N19),"-")</f>
        <v>0</v>
      </c>
      <c r="P19" s="17">
        <f t="shared" ref="P19:P24" si="13">IFERROR(O19*1.2,"-")</f>
        <v>0</v>
      </c>
      <c r="Q19" s="18" t="str">
        <f t="shared" ref="Q19:Q23" si="14">IFERROR(P19/$P$8,"-")</f>
        <v>-</v>
      </c>
      <c r="R19" s="10"/>
      <c r="S19" s="35"/>
      <c r="T19" s="18" t="str">
        <f>IFERROR(#REF!/#REF!,"-")</f>
        <v>-</v>
      </c>
      <c r="U19" s="10"/>
      <c r="V19" s="19"/>
      <c r="W19" s="13">
        <f>IFERROR(ROUNDDOWN(S19*V19,0),"-")</f>
        <v>0</v>
      </c>
      <c r="X19" s="17" t="str">
        <f>IFERROR(P19/W19,"-")</f>
        <v>-</v>
      </c>
      <c r="Y19" s="10"/>
      <c r="Z19" s="19"/>
      <c r="AA19" s="13">
        <f>IF(G19="CPI",AE19*Z19,IFERROR(ROUNDDOWN(W19*Z19,0),"-"))</f>
        <v>0</v>
      </c>
      <c r="AB19" s="17" t="str">
        <f>IFERROR(P19/AA19,"-")</f>
        <v>-</v>
      </c>
      <c r="AC19" s="10"/>
      <c r="AD19" s="19"/>
      <c r="AE19" s="13">
        <f>IF(G19="CPI",I19,0)</f>
        <v>0</v>
      </c>
      <c r="AF19" s="17" t="str">
        <f>IFERROR(P19/AE19,"-")</f>
        <v>-</v>
      </c>
      <c r="AG19" s="10"/>
      <c r="AH19" s="18" t="str">
        <f>IFERROR(P19/AJ19,"-")</f>
        <v>-</v>
      </c>
      <c r="AI19" s="15"/>
      <c r="AJ19" s="17">
        <v>0</v>
      </c>
      <c r="AK19" s="10"/>
    </row>
    <row r="20" spans="1:37" ht="30.75" customHeight="1" x14ac:dyDescent="0.3">
      <c r="A20" s="10"/>
      <c r="B20" s="11" t="s">
        <v>0</v>
      </c>
      <c r="C20" s="12" t="s">
        <v>1</v>
      </c>
      <c r="D20" s="12" t="s">
        <v>33</v>
      </c>
      <c r="E20" s="10"/>
      <c r="F20" s="13" t="s">
        <v>73</v>
      </c>
      <c r="G20" s="14" t="s">
        <v>36</v>
      </c>
      <c r="H20" s="15"/>
      <c r="I20" s="36">
        <f>INT(S20*V20)</f>
        <v>0</v>
      </c>
      <c r="J20" s="10"/>
      <c r="K20" s="17">
        <f t="shared" si="10"/>
        <v>0</v>
      </c>
      <c r="L20" s="18"/>
      <c r="M20" s="17">
        <f t="shared" si="11"/>
        <v>0</v>
      </c>
      <c r="N20" s="19"/>
      <c r="O20" s="17">
        <f t="shared" si="12"/>
        <v>0</v>
      </c>
      <c r="P20" s="17">
        <f t="shared" si="13"/>
        <v>0</v>
      </c>
      <c r="Q20" s="18" t="str">
        <f t="shared" si="14"/>
        <v>-</v>
      </c>
      <c r="R20" s="10"/>
      <c r="S20" s="35"/>
      <c r="T20" s="18" t="str">
        <f>IFERROR(#REF!/#REF!,"-")</f>
        <v>-</v>
      </c>
      <c r="U20" s="10"/>
      <c r="V20" s="19"/>
      <c r="W20" s="13">
        <f>IFERROR(ROUNDDOWN(S20*V20,0),"-")</f>
        <v>0</v>
      </c>
      <c r="X20" s="17" t="str">
        <f>IFERROR(P20/W20,"-")</f>
        <v>-</v>
      </c>
      <c r="Y20" s="10"/>
      <c r="Z20" s="19"/>
      <c r="AA20" s="13">
        <f>IF(G20="CPI",AE20*Z20,IFERROR(ROUNDDOWN(W20*Z20,0),"-"))</f>
        <v>0</v>
      </c>
      <c r="AB20" s="17" t="str">
        <f>IFERROR(P20/AA20,"-")</f>
        <v>-</v>
      </c>
      <c r="AC20" s="10"/>
      <c r="AD20" s="19"/>
      <c r="AE20" s="13">
        <f>IF(G20="CPI",I20,0)</f>
        <v>0</v>
      </c>
      <c r="AF20" s="17" t="str">
        <f>IFERROR(P20/AE20,"-")</f>
        <v>-</v>
      </c>
      <c r="AG20" s="10"/>
      <c r="AH20" s="18" t="str">
        <f>IFERROR(P20/AJ20,"-")</f>
        <v>-</v>
      </c>
      <c r="AI20" s="15"/>
      <c r="AJ20" s="17">
        <v>0</v>
      </c>
      <c r="AK20" s="10"/>
    </row>
    <row r="21" spans="1:37" ht="30.75" customHeight="1" x14ac:dyDescent="0.3">
      <c r="A21" s="10"/>
      <c r="B21" s="11" t="s">
        <v>0</v>
      </c>
      <c r="C21" s="12" t="s">
        <v>1</v>
      </c>
      <c r="D21" s="12" t="s">
        <v>33</v>
      </c>
      <c r="E21" s="10"/>
      <c r="F21" s="13" t="s">
        <v>73</v>
      </c>
      <c r="G21" s="14" t="s">
        <v>36</v>
      </c>
      <c r="H21" s="15"/>
      <c r="I21" s="36">
        <f>INT(S21*V21)</f>
        <v>0</v>
      </c>
      <c r="J21" s="10"/>
      <c r="K21" s="17">
        <f t="shared" si="10"/>
        <v>0</v>
      </c>
      <c r="L21" s="18"/>
      <c r="M21" s="17">
        <f t="shared" si="11"/>
        <v>0</v>
      </c>
      <c r="N21" s="19"/>
      <c r="O21" s="17">
        <f t="shared" si="12"/>
        <v>0</v>
      </c>
      <c r="P21" s="17">
        <f t="shared" si="13"/>
        <v>0</v>
      </c>
      <c r="Q21" s="18" t="str">
        <f t="shared" si="14"/>
        <v>-</v>
      </c>
      <c r="R21" s="10"/>
      <c r="S21" s="35"/>
      <c r="T21" s="18" t="str">
        <f>IFERROR(#REF!/#REF!,"-")</f>
        <v>-</v>
      </c>
      <c r="U21" s="10"/>
      <c r="V21" s="19"/>
      <c r="W21" s="13">
        <f>IFERROR(ROUNDDOWN(S21*V21,0),"-")</f>
        <v>0</v>
      </c>
      <c r="X21" s="17" t="str">
        <f>IFERROR(P21/W21,"-")</f>
        <v>-</v>
      </c>
      <c r="Y21" s="10"/>
      <c r="Z21" s="19"/>
      <c r="AA21" s="13">
        <f>IF(G21="CPI",AE21*Z21,IFERROR(ROUNDDOWN(W21*Z21,0),"-"))</f>
        <v>0</v>
      </c>
      <c r="AB21" s="17" t="str">
        <f>IFERROR(P21/AA21,"-")</f>
        <v>-</v>
      </c>
      <c r="AC21" s="10"/>
      <c r="AD21" s="19"/>
      <c r="AE21" s="13">
        <f>IF(G21="CPI",I21,0)</f>
        <v>0</v>
      </c>
      <c r="AF21" s="17" t="str">
        <f>IFERROR(P21/AE21,"-")</f>
        <v>-</v>
      </c>
      <c r="AG21" s="10"/>
      <c r="AH21" s="18" t="str">
        <f>IFERROR(P21/AJ21,"-")</f>
        <v>-</v>
      </c>
      <c r="AI21" s="15"/>
      <c r="AJ21" s="17">
        <v>0</v>
      </c>
      <c r="AK21" s="10"/>
    </row>
    <row r="22" spans="1:37" ht="30.75" customHeight="1" x14ac:dyDescent="0.3">
      <c r="A22" s="10"/>
      <c r="B22" s="11" t="s">
        <v>0</v>
      </c>
      <c r="C22" s="12" t="s">
        <v>1</v>
      </c>
      <c r="D22" s="12" t="s">
        <v>33</v>
      </c>
      <c r="E22" s="10"/>
      <c r="F22" s="13" t="s">
        <v>73</v>
      </c>
      <c r="G22" s="14" t="s">
        <v>36</v>
      </c>
      <c r="H22" s="15"/>
      <c r="I22" s="36">
        <f>INT(S22*V22)</f>
        <v>0</v>
      </c>
      <c r="J22" s="10"/>
      <c r="K22" s="17">
        <f t="shared" si="10"/>
        <v>0</v>
      </c>
      <c r="L22" s="18"/>
      <c r="M22" s="17">
        <f t="shared" si="11"/>
        <v>0</v>
      </c>
      <c r="N22" s="19"/>
      <c r="O22" s="17">
        <f t="shared" si="12"/>
        <v>0</v>
      </c>
      <c r="P22" s="17">
        <f t="shared" si="13"/>
        <v>0</v>
      </c>
      <c r="Q22" s="18" t="str">
        <f t="shared" si="14"/>
        <v>-</v>
      </c>
      <c r="R22" s="10"/>
      <c r="S22" s="35"/>
      <c r="T22" s="18" t="str">
        <f>IFERROR(#REF!/#REF!,"-")</f>
        <v>-</v>
      </c>
      <c r="U22" s="10"/>
      <c r="V22" s="19"/>
      <c r="W22" s="13">
        <f>IFERROR(ROUNDDOWN(S22*V22,0),"-")</f>
        <v>0</v>
      </c>
      <c r="X22" s="17" t="str">
        <f>IFERROR(P22/W22,"-")</f>
        <v>-</v>
      </c>
      <c r="Y22" s="10"/>
      <c r="Z22" s="19"/>
      <c r="AA22" s="13">
        <f>IF(G22="CPI",AE22*Z22,IFERROR(ROUNDDOWN(W22*Z22,0),"-"))</f>
        <v>0</v>
      </c>
      <c r="AB22" s="17" t="str">
        <f>IFERROR(P22/AA22,"-")</f>
        <v>-</v>
      </c>
      <c r="AC22" s="10"/>
      <c r="AD22" s="19"/>
      <c r="AE22" s="13">
        <f>IF(G22="CPI",I22,0)</f>
        <v>0</v>
      </c>
      <c r="AF22" s="17" t="str">
        <f>IFERROR(P22/AE22,"-")</f>
        <v>-</v>
      </c>
      <c r="AG22" s="10"/>
      <c r="AH22" s="18" t="str">
        <f>IFERROR(P22/AJ22,"-")</f>
        <v>-</v>
      </c>
      <c r="AI22" s="15"/>
      <c r="AJ22" s="17">
        <v>0</v>
      </c>
      <c r="AK22" s="10"/>
    </row>
    <row r="23" spans="1:37" ht="30.75" customHeight="1" x14ac:dyDescent="0.3">
      <c r="A23" s="10"/>
      <c r="B23" s="11" t="s">
        <v>0</v>
      </c>
      <c r="C23" s="12" t="s">
        <v>1</v>
      </c>
      <c r="D23" s="12" t="s">
        <v>33</v>
      </c>
      <c r="E23" s="10"/>
      <c r="F23" s="13" t="s">
        <v>73</v>
      </c>
      <c r="G23" s="14" t="s">
        <v>36</v>
      </c>
      <c r="H23" s="15"/>
      <c r="I23" s="36">
        <f>INT(S23*V23)</f>
        <v>0</v>
      </c>
      <c r="J23" s="10"/>
      <c r="K23" s="17">
        <f t="shared" si="10"/>
        <v>0</v>
      </c>
      <c r="L23" s="18"/>
      <c r="M23" s="17">
        <f t="shared" si="11"/>
        <v>0</v>
      </c>
      <c r="N23" s="19"/>
      <c r="O23" s="17">
        <f t="shared" si="12"/>
        <v>0</v>
      </c>
      <c r="P23" s="17">
        <f t="shared" si="13"/>
        <v>0</v>
      </c>
      <c r="Q23" s="18" t="str">
        <f t="shared" si="14"/>
        <v>-</v>
      </c>
      <c r="R23" s="10"/>
      <c r="S23" s="35"/>
      <c r="T23" s="18" t="str">
        <f>IFERROR(#REF!/#REF!,"-")</f>
        <v>-</v>
      </c>
      <c r="U23" s="10"/>
      <c r="V23" s="19"/>
      <c r="W23" s="13">
        <f>IFERROR(ROUNDDOWN(S23*V23,0),"-")</f>
        <v>0</v>
      </c>
      <c r="X23" s="17" t="str">
        <f>IFERROR(P23/W23,"-")</f>
        <v>-</v>
      </c>
      <c r="Y23" s="10"/>
      <c r="Z23" s="19"/>
      <c r="AA23" s="13">
        <f>IF(G23="CPI",AE23*Z23,IFERROR(ROUNDDOWN(W23*Z23,0),"-"))</f>
        <v>0</v>
      </c>
      <c r="AB23" s="17" t="str">
        <f>IFERROR(P23/AA23,"-")</f>
        <v>-</v>
      </c>
      <c r="AC23" s="10"/>
      <c r="AD23" s="19"/>
      <c r="AE23" s="13">
        <f>IF(G23="CPI",I23,0)</f>
        <v>0</v>
      </c>
      <c r="AF23" s="17" t="str">
        <f>IFERROR(P23/AE23,"-")</f>
        <v>-</v>
      </c>
      <c r="AG23" s="10"/>
      <c r="AH23" s="18" t="str">
        <f>IFERROR(P23/AJ23,"-")</f>
        <v>-</v>
      </c>
      <c r="AI23" s="15"/>
      <c r="AJ23" s="17">
        <v>0</v>
      </c>
      <c r="AK23" s="10"/>
    </row>
    <row r="24" spans="1:37" ht="17.25" customHeight="1" x14ac:dyDescent="0.3">
      <c r="A24" s="21"/>
      <c r="B24" s="6" t="s">
        <v>37</v>
      </c>
      <c r="C24" s="9" t="s">
        <v>38</v>
      </c>
      <c r="D24" s="9" t="s">
        <v>38</v>
      </c>
      <c r="E24" s="21"/>
      <c r="F24" s="9" t="s">
        <v>38</v>
      </c>
      <c r="G24" s="6" t="s">
        <v>38</v>
      </c>
      <c r="H24" s="6" t="s">
        <v>38</v>
      </c>
      <c r="I24" s="6" t="s">
        <v>38</v>
      </c>
      <c r="J24" s="21"/>
      <c r="K24" s="22">
        <v>0</v>
      </c>
      <c r="L24" s="6" t="s">
        <v>38</v>
      </c>
      <c r="M24" s="22">
        <v>0</v>
      </c>
      <c r="N24" s="9" t="s">
        <v>38</v>
      </c>
      <c r="O24" s="22">
        <f>IFERROR(SUM(O19:O23),"-")</f>
        <v>0</v>
      </c>
      <c r="P24" s="22">
        <f t="shared" si="13"/>
        <v>0</v>
      </c>
      <c r="Q24" s="23">
        <v>0</v>
      </c>
      <c r="R24" s="21"/>
      <c r="S24" s="24">
        <f>IFERROR(SUM(S19:S23),"-")</f>
        <v>0</v>
      </c>
      <c r="T24" s="6" t="s">
        <v>38</v>
      </c>
      <c r="U24" s="21"/>
      <c r="V24" s="23" t="str">
        <f>IFERROR(W24/S24,"-")</f>
        <v>-</v>
      </c>
      <c r="W24" s="24">
        <f>IFERROR(SUM(W19:W23),"-")</f>
        <v>0</v>
      </c>
      <c r="X24" s="22" t="str">
        <f>IFERROR(P24/W24,"-")</f>
        <v>-</v>
      </c>
      <c r="Y24" s="21"/>
      <c r="Z24" s="23" t="str">
        <f>IFERROR(AA24/W24,"-")</f>
        <v>-</v>
      </c>
      <c r="AA24" s="24">
        <v>0</v>
      </c>
      <c r="AB24" s="22" t="str">
        <f>IFERROR(P24/AA24,"-")</f>
        <v>-</v>
      </c>
      <c r="AC24" s="21"/>
      <c r="AD24" s="23" t="str">
        <f>IFERROR(AE24/W24,"-")</f>
        <v>-</v>
      </c>
      <c r="AE24" s="24">
        <v>0</v>
      </c>
      <c r="AF24" s="22" t="str">
        <f>IFERROR(L24/AE24,"-")</f>
        <v>-</v>
      </c>
      <c r="AG24" s="21"/>
      <c r="AH24" s="23" t="str">
        <f>IFERROR(P24/AJ24,"-")</f>
        <v>-</v>
      </c>
      <c r="AI24" s="22" t="str">
        <f>IFERROR(AJ24/#REF!,"-")</f>
        <v>-</v>
      </c>
      <c r="AJ24" s="22">
        <f>IFERROR(SUM(AJ19:AJ23),"-")</f>
        <v>0</v>
      </c>
      <c r="AK24" s="21"/>
    </row>
    <row r="25" spans="1:37" ht="15.75" customHeight="1" x14ac:dyDescent="0.3">
      <c r="A25" s="25"/>
      <c r="B25" s="26"/>
      <c r="C25" s="26"/>
      <c r="D25" s="26"/>
      <c r="E25" s="25"/>
      <c r="F25" s="26"/>
      <c r="G25" s="26"/>
      <c r="H25" s="26"/>
      <c r="I25" s="26"/>
      <c r="J25" s="25"/>
      <c r="K25" s="26"/>
      <c r="L25" s="26"/>
      <c r="M25" s="26"/>
      <c r="N25" s="26"/>
      <c r="O25" s="26"/>
      <c r="P25" s="26"/>
      <c r="Q25" s="26"/>
      <c r="R25" s="25"/>
      <c r="S25" s="26"/>
      <c r="T25" s="26"/>
      <c r="U25" s="25"/>
      <c r="V25" s="26"/>
      <c r="W25" s="26"/>
      <c r="X25" s="26"/>
      <c r="Y25" s="25"/>
      <c r="Z25" s="26"/>
      <c r="AA25" s="26"/>
      <c r="AB25" s="26"/>
      <c r="AC25" s="25"/>
      <c r="AD25" s="26"/>
      <c r="AE25" s="26"/>
      <c r="AF25" s="26"/>
      <c r="AG25" s="25"/>
      <c r="AH25" s="26"/>
      <c r="AI25" s="26"/>
      <c r="AJ25" s="26"/>
      <c r="AK25" s="25"/>
    </row>
    <row r="26" spans="1:37" ht="51.75" customHeight="1" x14ac:dyDescent="0.3">
      <c r="A26" s="1"/>
      <c r="B26" s="2" t="s">
        <v>0</v>
      </c>
      <c r="C26" s="2" t="s">
        <v>1</v>
      </c>
      <c r="D26" s="2" t="s">
        <v>2</v>
      </c>
      <c r="E26" s="1"/>
      <c r="F26" s="3" t="s">
        <v>3</v>
      </c>
      <c r="G26" s="2" t="s">
        <v>69</v>
      </c>
      <c r="H26" s="2" t="s">
        <v>70</v>
      </c>
      <c r="I26" s="2" t="s">
        <v>71</v>
      </c>
      <c r="J26" s="1"/>
      <c r="K26" s="4" t="s">
        <v>7</v>
      </c>
      <c r="L26" s="3" t="s">
        <v>8</v>
      </c>
      <c r="M26" s="4" t="s">
        <v>9</v>
      </c>
      <c r="N26" s="3" t="s">
        <v>10</v>
      </c>
      <c r="O26" s="5" t="s">
        <v>11</v>
      </c>
      <c r="P26" s="5" t="s">
        <v>12</v>
      </c>
      <c r="Q26" s="4" t="s">
        <v>13</v>
      </c>
      <c r="R26" s="1"/>
      <c r="S26" s="2" t="s">
        <v>14</v>
      </c>
      <c r="T26" s="2" t="s">
        <v>20</v>
      </c>
      <c r="U26" s="1"/>
      <c r="V26" s="6" t="s">
        <v>21</v>
      </c>
      <c r="W26" s="7" t="s">
        <v>22</v>
      </c>
      <c r="X26" s="7" t="s">
        <v>23</v>
      </c>
      <c r="Y26" s="1"/>
      <c r="Z26" s="6" t="s">
        <v>24</v>
      </c>
      <c r="AA26" s="8" t="s">
        <v>25</v>
      </c>
      <c r="AB26" s="8" t="s">
        <v>26</v>
      </c>
      <c r="AC26" s="1"/>
      <c r="AD26" s="9" t="s">
        <v>27</v>
      </c>
      <c r="AE26" s="8" t="s">
        <v>28</v>
      </c>
      <c r="AF26" s="8" t="s">
        <v>59</v>
      </c>
      <c r="AG26" s="1"/>
      <c r="AH26" s="9" t="s">
        <v>30</v>
      </c>
      <c r="AI26" s="8" t="s">
        <v>31</v>
      </c>
      <c r="AJ26" s="8" t="s">
        <v>32</v>
      </c>
      <c r="AK26" s="1"/>
    </row>
    <row r="27" spans="1:37" ht="30.75" customHeight="1" x14ac:dyDescent="0.3">
      <c r="A27" s="10"/>
      <c r="B27" s="11" t="s">
        <v>0</v>
      </c>
      <c r="C27" s="12" t="s">
        <v>1</v>
      </c>
      <c r="D27" s="12" t="s">
        <v>33</v>
      </c>
      <c r="E27" s="10"/>
      <c r="F27" s="13" t="s">
        <v>75</v>
      </c>
      <c r="G27" s="14" t="s">
        <v>36</v>
      </c>
      <c r="H27" s="15"/>
      <c r="I27" s="36">
        <f>INT(S27*V27)</f>
        <v>0</v>
      </c>
      <c r="J27" s="10"/>
      <c r="K27" s="17">
        <f t="shared" ref="K27:K31" si="15">IFERROR((H27*I27),"-")</f>
        <v>0</v>
      </c>
      <c r="L27" s="18"/>
      <c r="M27" s="17">
        <f t="shared" ref="M27:M31" si="16">IFERROR(K27*(1-L27),"-")</f>
        <v>0</v>
      </c>
      <c r="N27" s="19"/>
      <c r="O27" s="17">
        <f t="shared" ref="O27:O31" si="17">IFERROR(M27*(1+N27),"-")</f>
        <v>0</v>
      </c>
      <c r="P27" s="17">
        <f t="shared" ref="P27:P32" si="18">IFERROR(O27*1.2,"-")</f>
        <v>0</v>
      </c>
      <c r="Q27" s="18" t="str">
        <f t="shared" ref="Q27:Q31" si="19">IFERROR(P27/$P$8,"-")</f>
        <v>-</v>
      </c>
      <c r="R27" s="10"/>
      <c r="S27" s="35"/>
      <c r="T27" s="18" t="str">
        <f>IFERROR(#REF!/#REF!,"-")</f>
        <v>-</v>
      </c>
      <c r="U27" s="10"/>
      <c r="V27" s="19"/>
      <c r="W27" s="13">
        <f>IFERROR(ROUNDDOWN(S27*V27,0),"-")</f>
        <v>0</v>
      </c>
      <c r="X27" s="17" t="str">
        <f>IFERROR(P27/W27,"-")</f>
        <v>-</v>
      </c>
      <c r="Y27" s="10"/>
      <c r="Z27" s="19"/>
      <c r="AA27" s="13">
        <f>IF(G27="CPI",AE27*Z27,IFERROR(ROUNDDOWN(W27*Z27,0),"-"))</f>
        <v>0</v>
      </c>
      <c r="AB27" s="17" t="str">
        <f>IFERROR(P27/AA27,"-")</f>
        <v>-</v>
      </c>
      <c r="AC27" s="10"/>
      <c r="AD27" s="19"/>
      <c r="AE27" s="13">
        <f>IF(G27="CPI",I27,0)</f>
        <v>0</v>
      </c>
      <c r="AF27" s="17" t="str">
        <f>IFERROR(P27/AE27,"-")</f>
        <v>-</v>
      </c>
      <c r="AG27" s="10"/>
      <c r="AH27" s="18" t="str">
        <f>IFERROR(P27/AJ27,"-")</f>
        <v>-</v>
      </c>
      <c r="AI27" s="15"/>
      <c r="AJ27" s="17">
        <v>0</v>
      </c>
      <c r="AK27" s="10"/>
    </row>
    <row r="28" spans="1:37" ht="30.75" customHeight="1" x14ac:dyDescent="0.3">
      <c r="A28" s="10"/>
      <c r="B28" s="11" t="s">
        <v>0</v>
      </c>
      <c r="C28" s="12" t="s">
        <v>1</v>
      </c>
      <c r="D28" s="12" t="s">
        <v>33</v>
      </c>
      <c r="E28" s="10"/>
      <c r="F28" s="13" t="s">
        <v>75</v>
      </c>
      <c r="G28" s="14" t="s">
        <v>36</v>
      </c>
      <c r="H28" s="15"/>
      <c r="I28" s="36">
        <f>INT(S28*V28)</f>
        <v>0</v>
      </c>
      <c r="J28" s="10"/>
      <c r="K28" s="17">
        <f t="shared" si="15"/>
        <v>0</v>
      </c>
      <c r="L28" s="18"/>
      <c r="M28" s="17">
        <f t="shared" si="16"/>
        <v>0</v>
      </c>
      <c r="N28" s="19"/>
      <c r="O28" s="17">
        <f t="shared" si="17"/>
        <v>0</v>
      </c>
      <c r="P28" s="17">
        <f t="shared" si="18"/>
        <v>0</v>
      </c>
      <c r="Q28" s="18" t="str">
        <f t="shared" si="19"/>
        <v>-</v>
      </c>
      <c r="R28" s="10"/>
      <c r="S28" s="35"/>
      <c r="T28" s="18" t="str">
        <f>IFERROR(#REF!/#REF!,"-")</f>
        <v>-</v>
      </c>
      <c r="U28" s="10"/>
      <c r="V28" s="19"/>
      <c r="W28" s="13">
        <f>IFERROR(ROUNDDOWN(S28*V28,0),"-")</f>
        <v>0</v>
      </c>
      <c r="X28" s="17" t="str">
        <f>IFERROR(P28/W28,"-")</f>
        <v>-</v>
      </c>
      <c r="Y28" s="10"/>
      <c r="Z28" s="19"/>
      <c r="AA28" s="13">
        <f>IF(G28="CPI",AE28*Z28,IFERROR(ROUNDDOWN(W28*Z28,0),"-"))</f>
        <v>0</v>
      </c>
      <c r="AB28" s="17" t="str">
        <f>IFERROR(P28/AA28,"-")</f>
        <v>-</v>
      </c>
      <c r="AC28" s="10"/>
      <c r="AD28" s="19"/>
      <c r="AE28" s="13">
        <f>IF(G28="CPI",I28,0)</f>
        <v>0</v>
      </c>
      <c r="AF28" s="17" t="str">
        <f>IFERROR(P28/AE28,"-")</f>
        <v>-</v>
      </c>
      <c r="AG28" s="10"/>
      <c r="AH28" s="18" t="str">
        <f>IFERROR(P28/AJ28,"-")</f>
        <v>-</v>
      </c>
      <c r="AI28" s="15"/>
      <c r="AJ28" s="17">
        <v>0</v>
      </c>
      <c r="AK28" s="10"/>
    </row>
    <row r="29" spans="1:37" ht="30.75" customHeight="1" x14ac:dyDescent="0.3">
      <c r="A29" s="10"/>
      <c r="B29" s="11" t="s">
        <v>0</v>
      </c>
      <c r="C29" s="12" t="s">
        <v>1</v>
      </c>
      <c r="D29" s="12" t="s">
        <v>33</v>
      </c>
      <c r="E29" s="10"/>
      <c r="F29" s="13" t="s">
        <v>75</v>
      </c>
      <c r="G29" s="14" t="s">
        <v>36</v>
      </c>
      <c r="H29" s="15"/>
      <c r="I29" s="36">
        <f>INT(S29*V29)</f>
        <v>0</v>
      </c>
      <c r="J29" s="10"/>
      <c r="K29" s="17">
        <f t="shared" si="15"/>
        <v>0</v>
      </c>
      <c r="L29" s="18"/>
      <c r="M29" s="17">
        <f t="shared" si="16"/>
        <v>0</v>
      </c>
      <c r="N29" s="19"/>
      <c r="O29" s="17">
        <f t="shared" si="17"/>
        <v>0</v>
      </c>
      <c r="P29" s="17">
        <f t="shared" si="18"/>
        <v>0</v>
      </c>
      <c r="Q29" s="18" t="str">
        <f t="shared" si="19"/>
        <v>-</v>
      </c>
      <c r="R29" s="10"/>
      <c r="S29" s="35"/>
      <c r="T29" s="18" t="str">
        <f>IFERROR(#REF!/#REF!,"-")</f>
        <v>-</v>
      </c>
      <c r="U29" s="10"/>
      <c r="V29" s="19"/>
      <c r="W29" s="13">
        <f>IFERROR(ROUNDDOWN(S29*V29,0),"-")</f>
        <v>0</v>
      </c>
      <c r="X29" s="17" t="str">
        <f>IFERROR(P29/W29,"-")</f>
        <v>-</v>
      </c>
      <c r="Y29" s="10"/>
      <c r="Z29" s="19"/>
      <c r="AA29" s="13">
        <f>IF(G29="CPI",AE29*Z29,IFERROR(ROUNDDOWN(W29*Z29,0),"-"))</f>
        <v>0</v>
      </c>
      <c r="AB29" s="17" t="str">
        <f>IFERROR(P29/AA29,"-")</f>
        <v>-</v>
      </c>
      <c r="AC29" s="10"/>
      <c r="AD29" s="19"/>
      <c r="AE29" s="13">
        <f>IF(G29="CPI",I29,0)</f>
        <v>0</v>
      </c>
      <c r="AF29" s="17" t="str">
        <f>IFERROR(P29/AE29,"-")</f>
        <v>-</v>
      </c>
      <c r="AG29" s="10"/>
      <c r="AH29" s="18" t="str">
        <f>IFERROR(P29/AJ29,"-")</f>
        <v>-</v>
      </c>
      <c r="AI29" s="15"/>
      <c r="AJ29" s="17">
        <v>0</v>
      </c>
      <c r="AK29" s="10"/>
    </row>
    <row r="30" spans="1:37" ht="30.75" customHeight="1" x14ac:dyDescent="0.3">
      <c r="A30" s="10"/>
      <c r="B30" s="11" t="s">
        <v>0</v>
      </c>
      <c r="C30" s="12" t="s">
        <v>1</v>
      </c>
      <c r="D30" s="12" t="s">
        <v>33</v>
      </c>
      <c r="E30" s="10"/>
      <c r="F30" s="13" t="s">
        <v>75</v>
      </c>
      <c r="G30" s="14" t="s">
        <v>36</v>
      </c>
      <c r="H30" s="15"/>
      <c r="I30" s="36">
        <f>INT(S30*V30)</f>
        <v>0</v>
      </c>
      <c r="J30" s="10"/>
      <c r="K30" s="17">
        <f t="shared" si="15"/>
        <v>0</v>
      </c>
      <c r="L30" s="18"/>
      <c r="M30" s="17">
        <f t="shared" si="16"/>
        <v>0</v>
      </c>
      <c r="N30" s="19"/>
      <c r="O30" s="17">
        <f t="shared" si="17"/>
        <v>0</v>
      </c>
      <c r="P30" s="17">
        <f t="shared" si="18"/>
        <v>0</v>
      </c>
      <c r="Q30" s="18" t="str">
        <f t="shared" si="19"/>
        <v>-</v>
      </c>
      <c r="R30" s="10"/>
      <c r="S30" s="35"/>
      <c r="T30" s="18" t="str">
        <f>IFERROR(#REF!/#REF!,"-")</f>
        <v>-</v>
      </c>
      <c r="U30" s="10"/>
      <c r="V30" s="19"/>
      <c r="W30" s="13">
        <f>IFERROR(ROUNDDOWN(S30*V30,0),"-")</f>
        <v>0</v>
      </c>
      <c r="X30" s="17" t="str">
        <f>IFERROR(P30/W30,"-")</f>
        <v>-</v>
      </c>
      <c r="Y30" s="10"/>
      <c r="Z30" s="19"/>
      <c r="AA30" s="13">
        <f>IF(G30="CPI",AE30*Z30,IFERROR(ROUNDDOWN(W30*Z30,0),"-"))</f>
        <v>0</v>
      </c>
      <c r="AB30" s="17" t="str">
        <f>IFERROR(P30/AA30,"-")</f>
        <v>-</v>
      </c>
      <c r="AC30" s="10"/>
      <c r="AD30" s="19"/>
      <c r="AE30" s="13">
        <f>IF(G30="CPI",I30,0)</f>
        <v>0</v>
      </c>
      <c r="AF30" s="17" t="str">
        <f>IFERROR(P30/AE30,"-")</f>
        <v>-</v>
      </c>
      <c r="AG30" s="10"/>
      <c r="AH30" s="18" t="str">
        <f>IFERROR(P30/AJ30,"-")</f>
        <v>-</v>
      </c>
      <c r="AI30" s="15"/>
      <c r="AJ30" s="17">
        <v>0</v>
      </c>
      <c r="AK30" s="10"/>
    </row>
    <row r="31" spans="1:37" ht="30.75" customHeight="1" x14ac:dyDescent="0.3">
      <c r="A31" s="10"/>
      <c r="B31" s="11" t="s">
        <v>0</v>
      </c>
      <c r="C31" s="12" t="s">
        <v>1</v>
      </c>
      <c r="D31" s="12" t="s">
        <v>33</v>
      </c>
      <c r="E31" s="10"/>
      <c r="F31" s="13" t="s">
        <v>75</v>
      </c>
      <c r="G31" s="14" t="s">
        <v>36</v>
      </c>
      <c r="H31" s="15"/>
      <c r="I31" s="36">
        <f>INT(S31*V31)</f>
        <v>0</v>
      </c>
      <c r="J31" s="10"/>
      <c r="K31" s="17">
        <f t="shared" si="15"/>
        <v>0</v>
      </c>
      <c r="L31" s="18"/>
      <c r="M31" s="17">
        <f t="shared" si="16"/>
        <v>0</v>
      </c>
      <c r="N31" s="19"/>
      <c r="O31" s="17">
        <f t="shared" si="17"/>
        <v>0</v>
      </c>
      <c r="P31" s="17">
        <f t="shared" si="18"/>
        <v>0</v>
      </c>
      <c r="Q31" s="18" t="str">
        <f t="shared" si="19"/>
        <v>-</v>
      </c>
      <c r="R31" s="10"/>
      <c r="S31" s="35"/>
      <c r="T31" s="18" t="str">
        <f>IFERROR(#REF!/#REF!,"-")</f>
        <v>-</v>
      </c>
      <c r="U31" s="10"/>
      <c r="V31" s="19"/>
      <c r="W31" s="13">
        <f>IFERROR(ROUNDDOWN(S31*V31,0),"-")</f>
        <v>0</v>
      </c>
      <c r="X31" s="17" t="str">
        <f>IFERROR(P31/W31,"-")</f>
        <v>-</v>
      </c>
      <c r="Y31" s="10"/>
      <c r="Z31" s="19"/>
      <c r="AA31" s="13">
        <f>IF(G31="CPI",AE31*Z31,IFERROR(ROUNDDOWN(W31*Z31,0),"-"))</f>
        <v>0</v>
      </c>
      <c r="AB31" s="17" t="str">
        <f>IFERROR(P31/AA31,"-")</f>
        <v>-</v>
      </c>
      <c r="AC31" s="10"/>
      <c r="AD31" s="19"/>
      <c r="AE31" s="13">
        <f>IF(G31="CPI",I31,0)</f>
        <v>0</v>
      </c>
      <c r="AF31" s="17" t="str">
        <f>IFERROR(P31/AE31,"-")</f>
        <v>-</v>
      </c>
      <c r="AG31" s="10"/>
      <c r="AH31" s="18" t="str">
        <f>IFERROR(P31/AJ31,"-")</f>
        <v>-</v>
      </c>
      <c r="AI31" s="15"/>
      <c r="AJ31" s="17">
        <v>0</v>
      </c>
      <c r="AK31" s="10"/>
    </row>
    <row r="32" spans="1:37" ht="17.25" customHeight="1" x14ac:dyDescent="0.3">
      <c r="A32" s="21"/>
      <c r="B32" s="6" t="s">
        <v>37</v>
      </c>
      <c r="C32" s="9" t="s">
        <v>38</v>
      </c>
      <c r="D32" s="9" t="s">
        <v>38</v>
      </c>
      <c r="E32" s="21"/>
      <c r="F32" s="9" t="s">
        <v>38</v>
      </c>
      <c r="G32" s="6" t="s">
        <v>38</v>
      </c>
      <c r="H32" s="6" t="s">
        <v>38</v>
      </c>
      <c r="I32" s="6" t="s">
        <v>38</v>
      </c>
      <c r="J32" s="21"/>
      <c r="K32" s="22">
        <v>0</v>
      </c>
      <c r="L32" s="6" t="s">
        <v>38</v>
      </c>
      <c r="M32" s="22">
        <v>0</v>
      </c>
      <c r="N32" s="9" t="s">
        <v>38</v>
      </c>
      <c r="O32" s="22">
        <f>IFERROR(SUM(O27:O31),"-")</f>
        <v>0</v>
      </c>
      <c r="P32" s="22">
        <f t="shared" si="18"/>
        <v>0</v>
      </c>
      <c r="Q32" s="23">
        <v>0</v>
      </c>
      <c r="R32" s="21"/>
      <c r="S32" s="24">
        <f>IFERROR(SUM(S27:S31),"-")</f>
        <v>0</v>
      </c>
      <c r="T32" s="6" t="s">
        <v>38</v>
      </c>
      <c r="U32" s="21"/>
      <c r="V32" s="23" t="str">
        <f>IFERROR(W32/S32,"-")</f>
        <v>-</v>
      </c>
      <c r="W32" s="24">
        <f>IFERROR(SUM(W27:W31),"-")</f>
        <v>0</v>
      </c>
      <c r="X32" s="22" t="str">
        <f>IFERROR(P32/W32,"-")</f>
        <v>-</v>
      </c>
      <c r="Y32" s="21"/>
      <c r="Z32" s="23" t="str">
        <f>IFERROR(AA32/W32,"-")</f>
        <v>-</v>
      </c>
      <c r="AA32" s="24">
        <v>0</v>
      </c>
      <c r="AB32" s="22" t="str">
        <f>IFERROR(P32/AA32,"-")</f>
        <v>-</v>
      </c>
      <c r="AC32" s="21"/>
      <c r="AD32" s="23" t="str">
        <f>IFERROR(AE32/W32,"-")</f>
        <v>-</v>
      </c>
      <c r="AE32" s="24">
        <v>0</v>
      </c>
      <c r="AF32" s="22" t="str">
        <f>IFERROR(L32/AE32,"-")</f>
        <v>-</v>
      </c>
      <c r="AG32" s="21"/>
      <c r="AH32" s="23" t="str">
        <f>IFERROR(P32/AJ32,"-")</f>
        <v>-</v>
      </c>
      <c r="AI32" s="22" t="str">
        <f>IFERROR(AJ32/#REF!,"-")</f>
        <v>-</v>
      </c>
      <c r="AJ32" s="22">
        <f>IFERROR(SUM(AJ27:AJ31),"-")</f>
        <v>0</v>
      </c>
      <c r="AK32" s="21"/>
    </row>
    <row r="33" spans="1:37" ht="15.75" customHeight="1" x14ac:dyDescent="0.3">
      <c r="A33" s="33"/>
      <c r="B33" s="34"/>
      <c r="C33" s="34"/>
      <c r="D33" s="34"/>
      <c r="E33" s="33"/>
      <c r="F33" s="34"/>
      <c r="G33" s="34"/>
      <c r="H33" s="34"/>
      <c r="I33" s="34"/>
      <c r="J33" s="33"/>
      <c r="K33" s="34"/>
      <c r="L33" s="34"/>
      <c r="M33" s="34"/>
      <c r="N33" s="34"/>
      <c r="O33" s="34"/>
      <c r="P33" s="34"/>
      <c r="Q33" s="34"/>
      <c r="R33" s="33"/>
      <c r="S33" s="34"/>
      <c r="T33" s="34"/>
      <c r="U33" s="33"/>
      <c r="V33" s="34"/>
      <c r="W33" s="34"/>
      <c r="X33" s="34"/>
      <c r="Y33" s="33"/>
      <c r="Z33" s="34"/>
      <c r="AA33" s="34"/>
      <c r="AB33" s="34"/>
      <c r="AC33" s="33"/>
      <c r="AD33" s="34"/>
      <c r="AE33" s="34"/>
      <c r="AF33" s="34"/>
      <c r="AG33" s="33"/>
      <c r="AH33" s="34"/>
      <c r="AI33" s="34"/>
      <c r="AJ33" s="34"/>
      <c r="AK33" s="33"/>
    </row>
    <row r="34" spans="1:37" ht="51.75" customHeight="1" x14ac:dyDescent="0.3">
      <c r="A34" s="1"/>
      <c r="B34" s="2" t="s">
        <v>0</v>
      </c>
      <c r="C34" s="2" t="s">
        <v>1</v>
      </c>
      <c r="D34" s="2" t="s">
        <v>2</v>
      </c>
      <c r="E34" s="1"/>
      <c r="F34" s="3" t="s">
        <v>3</v>
      </c>
      <c r="G34" s="2" t="s">
        <v>69</v>
      </c>
      <c r="H34" s="2" t="s">
        <v>70</v>
      </c>
      <c r="I34" s="2" t="s">
        <v>71</v>
      </c>
      <c r="J34" s="1"/>
      <c r="K34" s="4" t="s">
        <v>7</v>
      </c>
      <c r="L34" s="3" t="s">
        <v>8</v>
      </c>
      <c r="M34" s="4" t="s">
        <v>9</v>
      </c>
      <c r="N34" s="3" t="s">
        <v>10</v>
      </c>
      <c r="O34" s="5" t="s">
        <v>11</v>
      </c>
      <c r="P34" s="5" t="s">
        <v>12</v>
      </c>
      <c r="Q34" s="4" t="s">
        <v>13</v>
      </c>
      <c r="R34" s="1"/>
      <c r="S34" s="2" t="s">
        <v>14</v>
      </c>
      <c r="T34" s="2" t="s">
        <v>20</v>
      </c>
      <c r="U34" s="1"/>
      <c r="V34" s="6" t="s">
        <v>21</v>
      </c>
      <c r="W34" s="7" t="s">
        <v>22</v>
      </c>
      <c r="X34" s="7" t="s">
        <v>23</v>
      </c>
      <c r="Y34" s="1"/>
      <c r="Z34" s="6" t="s">
        <v>24</v>
      </c>
      <c r="AA34" s="8" t="s">
        <v>25</v>
      </c>
      <c r="AB34" s="8" t="s">
        <v>26</v>
      </c>
      <c r="AC34" s="1"/>
      <c r="AD34" s="9" t="s">
        <v>27</v>
      </c>
      <c r="AE34" s="8" t="s">
        <v>28</v>
      </c>
      <c r="AF34" s="8" t="s">
        <v>59</v>
      </c>
      <c r="AG34" s="1"/>
      <c r="AH34" s="9" t="s">
        <v>30</v>
      </c>
      <c r="AI34" s="8" t="s">
        <v>31</v>
      </c>
      <c r="AJ34" s="8" t="s">
        <v>32</v>
      </c>
      <c r="AK34" s="1"/>
    </row>
    <row r="35" spans="1:37" ht="30.75" customHeight="1" x14ac:dyDescent="0.3">
      <c r="A35" s="10"/>
      <c r="B35" s="11" t="s">
        <v>0</v>
      </c>
      <c r="C35" s="12" t="s">
        <v>1</v>
      </c>
      <c r="D35" s="12" t="s">
        <v>33</v>
      </c>
      <c r="E35" s="10"/>
      <c r="F35" s="13" t="s">
        <v>76</v>
      </c>
      <c r="G35" s="14" t="s">
        <v>36</v>
      </c>
      <c r="H35" s="15"/>
      <c r="I35" s="36">
        <f>INT(S35*V35)</f>
        <v>0</v>
      </c>
      <c r="J35" s="10"/>
      <c r="K35" s="17">
        <f t="shared" ref="K35:K39" si="20">IFERROR((H35*I35),"-")</f>
        <v>0</v>
      </c>
      <c r="L35" s="18"/>
      <c r="M35" s="17">
        <f t="shared" ref="M35:M39" si="21">IFERROR(K35*(1-L35),"-")</f>
        <v>0</v>
      </c>
      <c r="N35" s="19"/>
      <c r="O35" s="17">
        <f t="shared" ref="O35:O39" si="22">IFERROR(M35*(1+N35),"-")</f>
        <v>0</v>
      </c>
      <c r="P35" s="17">
        <f t="shared" ref="P35:P40" si="23">IFERROR(O35*1.2,"-")</f>
        <v>0</v>
      </c>
      <c r="Q35" s="18" t="str">
        <f t="shared" ref="Q35:Q39" si="24">IFERROR(P35/$P$8,"-")</f>
        <v>-</v>
      </c>
      <c r="R35" s="10"/>
      <c r="S35" s="35"/>
      <c r="T35" s="18" t="str">
        <f>IFERROR(#REF!/#REF!,"-")</f>
        <v>-</v>
      </c>
      <c r="U35" s="10"/>
      <c r="V35" s="19"/>
      <c r="W35" s="13">
        <f>IFERROR(ROUNDDOWN(S35*V35,0),"-")</f>
        <v>0</v>
      </c>
      <c r="X35" s="17" t="str">
        <f>IFERROR(P35/W35,"-")</f>
        <v>-</v>
      </c>
      <c r="Y35" s="10"/>
      <c r="Z35" s="19"/>
      <c r="AA35" s="13">
        <f>IF(G35="CPI",AE35*Z35,IFERROR(ROUNDDOWN(W35*Z35,0),"-"))</f>
        <v>0</v>
      </c>
      <c r="AB35" s="17" t="str">
        <f>IFERROR(P35/AA35,"-")</f>
        <v>-</v>
      </c>
      <c r="AC35" s="10"/>
      <c r="AD35" s="19"/>
      <c r="AE35" s="13">
        <f>IF(G35="CPI",I35,0)</f>
        <v>0</v>
      </c>
      <c r="AF35" s="17" t="str">
        <f>IFERROR(P35/AE35,"-")</f>
        <v>-</v>
      </c>
      <c r="AG35" s="10"/>
      <c r="AH35" s="18" t="str">
        <f>IFERROR(P35/AJ35,"-")</f>
        <v>-</v>
      </c>
      <c r="AI35" s="15"/>
      <c r="AJ35" s="17">
        <v>0</v>
      </c>
      <c r="AK35" s="10"/>
    </row>
    <row r="36" spans="1:37" ht="30.75" customHeight="1" x14ac:dyDescent="0.3">
      <c r="A36" s="10"/>
      <c r="B36" s="11" t="s">
        <v>0</v>
      </c>
      <c r="C36" s="12" t="s">
        <v>1</v>
      </c>
      <c r="D36" s="12" t="s">
        <v>33</v>
      </c>
      <c r="E36" s="10"/>
      <c r="F36" s="13" t="s">
        <v>76</v>
      </c>
      <c r="G36" s="14" t="s">
        <v>36</v>
      </c>
      <c r="H36" s="15"/>
      <c r="I36" s="36">
        <f>INT(S36*V36)</f>
        <v>0</v>
      </c>
      <c r="J36" s="10"/>
      <c r="K36" s="17">
        <f t="shared" si="20"/>
        <v>0</v>
      </c>
      <c r="L36" s="18"/>
      <c r="M36" s="17">
        <f t="shared" si="21"/>
        <v>0</v>
      </c>
      <c r="N36" s="19"/>
      <c r="O36" s="17">
        <f t="shared" si="22"/>
        <v>0</v>
      </c>
      <c r="P36" s="17">
        <f t="shared" si="23"/>
        <v>0</v>
      </c>
      <c r="Q36" s="18" t="str">
        <f t="shared" si="24"/>
        <v>-</v>
      </c>
      <c r="R36" s="10"/>
      <c r="S36" s="35"/>
      <c r="T36" s="18" t="str">
        <f>IFERROR(#REF!/#REF!,"-")</f>
        <v>-</v>
      </c>
      <c r="U36" s="10"/>
      <c r="V36" s="19"/>
      <c r="W36" s="13">
        <f>IFERROR(ROUNDDOWN(S36*V36,0),"-")</f>
        <v>0</v>
      </c>
      <c r="X36" s="17" t="str">
        <f>IFERROR(P36/W36,"-")</f>
        <v>-</v>
      </c>
      <c r="Y36" s="10"/>
      <c r="Z36" s="19"/>
      <c r="AA36" s="13">
        <f>IF(G36="CPI",AE36*Z36,IFERROR(ROUNDDOWN(W36*Z36,0),"-"))</f>
        <v>0</v>
      </c>
      <c r="AB36" s="17" t="str">
        <f>IFERROR(P36/AA36,"-")</f>
        <v>-</v>
      </c>
      <c r="AC36" s="10"/>
      <c r="AD36" s="19"/>
      <c r="AE36" s="13">
        <f>IF(G36="CPI",I36,0)</f>
        <v>0</v>
      </c>
      <c r="AF36" s="17" t="str">
        <f>IFERROR(P36/AE36,"-")</f>
        <v>-</v>
      </c>
      <c r="AG36" s="10"/>
      <c r="AH36" s="18" t="str">
        <f>IFERROR(P36/AJ36,"-")</f>
        <v>-</v>
      </c>
      <c r="AI36" s="15"/>
      <c r="AJ36" s="17">
        <v>0</v>
      </c>
      <c r="AK36" s="10"/>
    </row>
    <row r="37" spans="1:37" ht="30.75" customHeight="1" x14ac:dyDescent="0.3">
      <c r="A37" s="10"/>
      <c r="B37" s="11" t="s">
        <v>0</v>
      </c>
      <c r="C37" s="12" t="s">
        <v>1</v>
      </c>
      <c r="D37" s="12" t="s">
        <v>33</v>
      </c>
      <c r="E37" s="10"/>
      <c r="F37" s="13" t="s">
        <v>76</v>
      </c>
      <c r="G37" s="14" t="s">
        <v>36</v>
      </c>
      <c r="H37" s="15"/>
      <c r="I37" s="36">
        <f>INT(S37*V37)</f>
        <v>0</v>
      </c>
      <c r="J37" s="10"/>
      <c r="K37" s="17">
        <f t="shared" si="20"/>
        <v>0</v>
      </c>
      <c r="L37" s="18"/>
      <c r="M37" s="17">
        <f t="shared" si="21"/>
        <v>0</v>
      </c>
      <c r="N37" s="19"/>
      <c r="O37" s="17">
        <f t="shared" si="22"/>
        <v>0</v>
      </c>
      <c r="P37" s="17">
        <f t="shared" si="23"/>
        <v>0</v>
      </c>
      <c r="Q37" s="18" t="str">
        <f t="shared" si="24"/>
        <v>-</v>
      </c>
      <c r="R37" s="10"/>
      <c r="S37" s="35"/>
      <c r="T37" s="18" t="str">
        <f>IFERROR(#REF!/#REF!,"-")</f>
        <v>-</v>
      </c>
      <c r="U37" s="10"/>
      <c r="V37" s="19"/>
      <c r="W37" s="13">
        <f>IFERROR(ROUNDDOWN(S37*V37,0),"-")</f>
        <v>0</v>
      </c>
      <c r="X37" s="17" t="str">
        <f>IFERROR(P37/W37,"-")</f>
        <v>-</v>
      </c>
      <c r="Y37" s="10"/>
      <c r="Z37" s="19"/>
      <c r="AA37" s="13">
        <f>IF(G37="CPI",AE37*Z37,IFERROR(ROUNDDOWN(W37*Z37,0),"-"))</f>
        <v>0</v>
      </c>
      <c r="AB37" s="17" t="str">
        <f>IFERROR(P37/AA37,"-")</f>
        <v>-</v>
      </c>
      <c r="AC37" s="10"/>
      <c r="AD37" s="19"/>
      <c r="AE37" s="13">
        <f>IF(G37="CPI",I37,0)</f>
        <v>0</v>
      </c>
      <c r="AF37" s="17" t="str">
        <f>IFERROR(P37/AE37,"-")</f>
        <v>-</v>
      </c>
      <c r="AG37" s="10"/>
      <c r="AH37" s="18" t="str">
        <f>IFERROR(P37/AJ37,"-")</f>
        <v>-</v>
      </c>
      <c r="AI37" s="15"/>
      <c r="AJ37" s="17">
        <v>0</v>
      </c>
      <c r="AK37" s="10"/>
    </row>
    <row r="38" spans="1:37" ht="30.75" customHeight="1" x14ac:dyDescent="0.3">
      <c r="A38" s="10"/>
      <c r="B38" s="11" t="s">
        <v>0</v>
      </c>
      <c r="C38" s="12" t="s">
        <v>1</v>
      </c>
      <c r="D38" s="12" t="s">
        <v>33</v>
      </c>
      <c r="E38" s="10"/>
      <c r="F38" s="13" t="s">
        <v>76</v>
      </c>
      <c r="G38" s="14" t="s">
        <v>36</v>
      </c>
      <c r="H38" s="15"/>
      <c r="I38" s="36">
        <f>INT(S38*V38)</f>
        <v>0</v>
      </c>
      <c r="J38" s="10"/>
      <c r="K38" s="17">
        <f t="shared" si="20"/>
        <v>0</v>
      </c>
      <c r="L38" s="18"/>
      <c r="M38" s="17">
        <f t="shared" si="21"/>
        <v>0</v>
      </c>
      <c r="N38" s="19"/>
      <c r="O38" s="17">
        <f t="shared" si="22"/>
        <v>0</v>
      </c>
      <c r="P38" s="17">
        <f t="shared" si="23"/>
        <v>0</v>
      </c>
      <c r="Q38" s="18" t="str">
        <f t="shared" si="24"/>
        <v>-</v>
      </c>
      <c r="R38" s="10"/>
      <c r="S38" s="35"/>
      <c r="T38" s="18" t="str">
        <f>IFERROR(#REF!/#REF!,"-")</f>
        <v>-</v>
      </c>
      <c r="U38" s="10"/>
      <c r="V38" s="19"/>
      <c r="W38" s="13">
        <f>IFERROR(ROUNDDOWN(S38*V38,0),"-")</f>
        <v>0</v>
      </c>
      <c r="X38" s="17" t="str">
        <f>IFERROR(P38/W38,"-")</f>
        <v>-</v>
      </c>
      <c r="Y38" s="10"/>
      <c r="Z38" s="19"/>
      <c r="AA38" s="13">
        <f>IF(G38="CPI",AE38*Z38,IFERROR(ROUNDDOWN(W38*Z38,0),"-"))</f>
        <v>0</v>
      </c>
      <c r="AB38" s="17" t="str">
        <f>IFERROR(P38/AA38,"-")</f>
        <v>-</v>
      </c>
      <c r="AC38" s="10"/>
      <c r="AD38" s="19"/>
      <c r="AE38" s="13">
        <f>IF(G38="CPI",I38,0)</f>
        <v>0</v>
      </c>
      <c r="AF38" s="17" t="str">
        <f>IFERROR(P38/AE38,"-")</f>
        <v>-</v>
      </c>
      <c r="AG38" s="10"/>
      <c r="AH38" s="18" t="str">
        <f>IFERROR(P38/AJ38,"-")</f>
        <v>-</v>
      </c>
      <c r="AI38" s="15"/>
      <c r="AJ38" s="17">
        <v>0</v>
      </c>
      <c r="AK38" s="10"/>
    </row>
    <row r="39" spans="1:37" ht="30.75" customHeight="1" x14ac:dyDescent="0.3">
      <c r="A39" s="10"/>
      <c r="B39" s="11" t="s">
        <v>0</v>
      </c>
      <c r="C39" s="12" t="s">
        <v>1</v>
      </c>
      <c r="D39" s="12" t="s">
        <v>33</v>
      </c>
      <c r="E39" s="10"/>
      <c r="F39" s="13" t="s">
        <v>76</v>
      </c>
      <c r="G39" s="14" t="s">
        <v>36</v>
      </c>
      <c r="H39" s="15"/>
      <c r="I39" s="36">
        <f>INT(S39*V39)</f>
        <v>0</v>
      </c>
      <c r="J39" s="10"/>
      <c r="K39" s="17">
        <f t="shared" si="20"/>
        <v>0</v>
      </c>
      <c r="L39" s="18"/>
      <c r="M39" s="17">
        <f t="shared" si="21"/>
        <v>0</v>
      </c>
      <c r="N39" s="19"/>
      <c r="O39" s="17">
        <f t="shared" si="22"/>
        <v>0</v>
      </c>
      <c r="P39" s="17">
        <f t="shared" si="23"/>
        <v>0</v>
      </c>
      <c r="Q39" s="18" t="str">
        <f t="shared" si="24"/>
        <v>-</v>
      </c>
      <c r="R39" s="10"/>
      <c r="S39" s="35"/>
      <c r="T39" s="18" t="str">
        <f>IFERROR(#REF!/#REF!,"-")</f>
        <v>-</v>
      </c>
      <c r="U39" s="10"/>
      <c r="V39" s="19"/>
      <c r="W39" s="13">
        <f>IFERROR(ROUNDDOWN(S39*V39,0),"-")</f>
        <v>0</v>
      </c>
      <c r="X39" s="17" t="str">
        <f>IFERROR(P39/W39,"-")</f>
        <v>-</v>
      </c>
      <c r="Y39" s="10"/>
      <c r="Z39" s="19"/>
      <c r="AA39" s="13">
        <f>IF(G39="CPI",AE39*Z39,IFERROR(ROUNDDOWN(W39*Z39,0),"-"))</f>
        <v>0</v>
      </c>
      <c r="AB39" s="17" t="str">
        <f>IFERROR(P39/AA39,"-")</f>
        <v>-</v>
      </c>
      <c r="AC39" s="10"/>
      <c r="AD39" s="19"/>
      <c r="AE39" s="13">
        <f>IF(G39="CPI",I39,0)</f>
        <v>0</v>
      </c>
      <c r="AF39" s="17" t="str">
        <f>IFERROR(P39/AE39,"-")</f>
        <v>-</v>
      </c>
      <c r="AG39" s="10"/>
      <c r="AH39" s="18" t="str">
        <f>IFERROR(P39/AJ39,"-")</f>
        <v>-</v>
      </c>
      <c r="AI39" s="15"/>
      <c r="AJ39" s="17">
        <v>0</v>
      </c>
      <c r="AK39" s="10"/>
    </row>
    <row r="40" spans="1:37" ht="17.25" customHeight="1" x14ac:dyDescent="0.3">
      <c r="A40" s="21"/>
      <c r="B40" s="6" t="s">
        <v>37</v>
      </c>
      <c r="C40" s="9" t="s">
        <v>38</v>
      </c>
      <c r="D40" s="9" t="s">
        <v>38</v>
      </c>
      <c r="E40" s="21"/>
      <c r="F40" s="9" t="s">
        <v>38</v>
      </c>
      <c r="G40" s="6" t="s">
        <v>38</v>
      </c>
      <c r="H40" s="6" t="s">
        <v>38</v>
      </c>
      <c r="I40" s="6" t="s">
        <v>38</v>
      </c>
      <c r="J40" s="21"/>
      <c r="K40" s="22">
        <v>0</v>
      </c>
      <c r="L40" s="6" t="s">
        <v>38</v>
      </c>
      <c r="M40" s="22">
        <v>0</v>
      </c>
      <c r="N40" s="9" t="s">
        <v>38</v>
      </c>
      <c r="O40" s="22">
        <f>IFERROR(SUM(O35:O39),"-")</f>
        <v>0</v>
      </c>
      <c r="P40" s="22">
        <f t="shared" si="23"/>
        <v>0</v>
      </c>
      <c r="Q40" s="23">
        <v>0</v>
      </c>
      <c r="R40" s="21"/>
      <c r="S40" s="24">
        <f>IFERROR(SUM(S35:S39),"-")</f>
        <v>0</v>
      </c>
      <c r="T40" s="6" t="s">
        <v>38</v>
      </c>
      <c r="U40" s="21"/>
      <c r="V40" s="23" t="str">
        <f>IFERROR(W40/S40,"-")</f>
        <v>-</v>
      </c>
      <c r="W40" s="24">
        <f>IFERROR(SUM(W35:W39),"-")</f>
        <v>0</v>
      </c>
      <c r="X40" s="22" t="str">
        <f>IFERROR(P40/W40,"-")</f>
        <v>-</v>
      </c>
      <c r="Y40" s="21"/>
      <c r="Z40" s="23" t="str">
        <f>IFERROR(AA40/W40,"-")</f>
        <v>-</v>
      </c>
      <c r="AA40" s="24">
        <v>0</v>
      </c>
      <c r="AB40" s="22" t="str">
        <f>IFERROR(P40/AA40,"-")</f>
        <v>-</v>
      </c>
      <c r="AC40" s="21"/>
      <c r="AD40" s="23" t="str">
        <f>IFERROR(AE40/W40,"-")</f>
        <v>-</v>
      </c>
      <c r="AE40" s="24">
        <v>0</v>
      </c>
      <c r="AF40" s="22" t="str">
        <f>IFERROR(L40/AE40,"-")</f>
        <v>-</v>
      </c>
      <c r="AG40" s="21"/>
      <c r="AH40" s="23" t="str">
        <f>IFERROR(P40/AJ40,"-")</f>
        <v>-</v>
      </c>
      <c r="AI40" s="22" t="str">
        <f>IFERROR(AJ40/#REF!,"-")</f>
        <v>-</v>
      </c>
      <c r="AJ40" s="22">
        <f>IFERROR(SUM(AJ35:AJ39),"-")</f>
        <v>0</v>
      </c>
      <c r="AK40" s="21"/>
    </row>
    <row r="41" spans="1:37" ht="15.75" customHeight="1" x14ac:dyDescent="0.3">
      <c r="A41" s="33"/>
      <c r="B41" s="34"/>
      <c r="C41" s="34"/>
      <c r="D41" s="34"/>
      <c r="E41" s="33"/>
      <c r="F41" s="34"/>
      <c r="G41" s="34"/>
      <c r="H41" s="34"/>
      <c r="I41" s="34"/>
      <c r="J41" s="33"/>
      <c r="K41" s="34"/>
      <c r="L41" s="34"/>
      <c r="M41" s="34"/>
      <c r="N41" s="34"/>
      <c r="O41" s="34"/>
      <c r="P41" s="34"/>
      <c r="Q41" s="34"/>
      <c r="R41" s="33"/>
      <c r="S41" s="34"/>
      <c r="T41" s="34"/>
      <c r="U41" s="33"/>
      <c r="V41" s="34"/>
      <c r="W41" s="34"/>
      <c r="X41" s="34"/>
      <c r="Y41" s="33"/>
      <c r="Z41" s="34"/>
      <c r="AA41" s="34"/>
      <c r="AB41" s="34"/>
      <c r="AC41" s="33"/>
      <c r="AD41" s="34"/>
      <c r="AE41" s="34"/>
      <c r="AF41" s="34"/>
      <c r="AG41" s="33"/>
      <c r="AH41" s="34"/>
      <c r="AI41" s="34"/>
      <c r="AJ41" s="34"/>
      <c r="AK41" s="33"/>
    </row>
    <row r="42" spans="1:37" ht="51.75" customHeight="1" x14ac:dyDescent="0.3">
      <c r="A42" s="1"/>
      <c r="B42" s="2" t="s">
        <v>0</v>
      </c>
      <c r="C42" s="2" t="s">
        <v>1</v>
      </c>
      <c r="D42" s="2" t="s">
        <v>2</v>
      </c>
      <c r="E42" s="1"/>
      <c r="F42" s="3" t="s">
        <v>3</v>
      </c>
      <c r="G42" s="2" t="s">
        <v>69</v>
      </c>
      <c r="H42" s="2" t="s">
        <v>70</v>
      </c>
      <c r="I42" s="2" t="s">
        <v>71</v>
      </c>
      <c r="J42" s="1"/>
      <c r="K42" s="4" t="s">
        <v>7</v>
      </c>
      <c r="L42" s="3" t="s">
        <v>8</v>
      </c>
      <c r="M42" s="4" t="s">
        <v>9</v>
      </c>
      <c r="N42" s="3" t="s">
        <v>10</v>
      </c>
      <c r="O42" s="5" t="s">
        <v>11</v>
      </c>
      <c r="P42" s="5" t="s">
        <v>12</v>
      </c>
      <c r="Q42" s="4" t="s">
        <v>13</v>
      </c>
      <c r="R42" s="1"/>
      <c r="S42" s="2" t="s">
        <v>14</v>
      </c>
      <c r="T42" s="2" t="s">
        <v>20</v>
      </c>
      <c r="U42" s="1"/>
      <c r="V42" s="6" t="s">
        <v>21</v>
      </c>
      <c r="W42" s="7" t="s">
        <v>22</v>
      </c>
      <c r="X42" s="7" t="s">
        <v>23</v>
      </c>
      <c r="Y42" s="1"/>
      <c r="Z42" s="6" t="s">
        <v>24</v>
      </c>
      <c r="AA42" s="8" t="s">
        <v>25</v>
      </c>
      <c r="AB42" s="8" t="s">
        <v>26</v>
      </c>
      <c r="AC42" s="1"/>
      <c r="AD42" s="9" t="s">
        <v>27</v>
      </c>
      <c r="AE42" s="8" t="s">
        <v>28</v>
      </c>
      <c r="AF42" s="8" t="s">
        <v>59</v>
      </c>
      <c r="AG42" s="1"/>
      <c r="AH42" s="9" t="s">
        <v>30</v>
      </c>
      <c r="AI42" s="8" t="s">
        <v>31</v>
      </c>
      <c r="AJ42" s="8" t="s">
        <v>32</v>
      </c>
      <c r="AK42" s="1"/>
    </row>
    <row r="43" spans="1:37" ht="30.75" customHeight="1" x14ac:dyDescent="0.3">
      <c r="A43" s="10"/>
      <c r="B43" s="11" t="s">
        <v>0</v>
      </c>
      <c r="C43" s="12" t="s">
        <v>1</v>
      </c>
      <c r="D43" s="12" t="s">
        <v>33</v>
      </c>
      <c r="E43" s="10"/>
      <c r="F43" s="13" t="s">
        <v>77</v>
      </c>
      <c r="G43" s="14" t="s">
        <v>36</v>
      </c>
      <c r="H43" s="15"/>
      <c r="I43" s="36">
        <f>INT(S43*V43)</f>
        <v>0</v>
      </c>
      <c r="J43" s="10"/>
      <c r="K43" s="17">
        <f t="shared" ref="K43:K47" si="25">IFERROR((H43*I43),"-")</f>
        <v>0</v>
      </c>
      <c r="L43" s="18"/>
      <c r="M43" s="17">
        <f t="shared" ref="M43:M47" si="26">IFERROR(K43*(1-L43),"-")</f>
        <v>0</v>
      </c>
      <c r="N43" s="19"/>
      <c r="O43" s="17">
        <f t="shared" ref="O43:O47" si="27">IFERROR(M43*(1+N43),"-")</f>
        <v>0</v>
      </c>
      <c r="P43" s="17">
        <f t="shared" ref="P43:P48" si="28">IFERROR(O43*1.2,"-")</f>
        <v>0</v>
      </c>
      <c r="Q43" s="18" t="str">
        <f t="shared" ref="Q43:Q47" si="29">IFERROR(P43/$P$8,"-")</f>
        <v>-</v>
      </c>
      <c r="R43" s="10"/>
      <c r="S43" s="35"/>
      <c r="T43" s="18" t="str">
        <f>IFERROR(#REF!/#REF!,"-")</f>
        <v>-</v>
      </c>
      <c r="U43" s="10"/>
      <c r="V43" s="19"/>
      <c r="W43" s="13">
        <f>IFERROR(ROUNDDOWN(S43*V43,0),"-")</f>
        <v>0</v>
      </c>
      <c r="X43" s="17" t="str">
        <f>IFERROR(P43/W43,"-")</f>
        <v>-</v>
      </c>
      <c r="Y43" s="10"/>
      <c r="Z43" s="19"/>
      <c r="AA43" s="13">
        <f>IF(G43="CPI",AE43*Z43,IFERROR(ROUNDDOWN(W43*Z43,0),"-"))</f>
        <v>0</v>
      </c>
      <c r="AB43" s="17" t="str">
        <f>IFERROR(P43/AA43,"-")</f>
        <v>-</v>
      </c>
      <c r="AC43" s="10"/>
      <c r="AD43" s="19"/>
      <c r="AE43" s="13">
        <f>IF(G43="CPI",I43,0)</f>
        <v>0</v>
      </c>
      <c r="AF43" s="17" t="str">
        <f>IFERROR(P43/AE43,"-")</f>
        <v>-</v>
      </c>
      <c r="AG43" s="10"/>
      <c r="AH43" s="18" t="str">
        <f>IFERROR(P43/AJ43,"-")</f>
        <v>-</v>
      </c>
      <c r="AI43" s="15"/>
      <c r="AJ43" s="17">
        <v>0</v>
      </c>
      <c r="AK43" s="10"/>
    </row>
    <row r="44" spans="1:37" ht="30.75" customHeight="1" x14ac:dyDescent="0.3">
      <c r="A44" s="10"/>
      <c r="B44" s="11" t="s">
        <v>0</v>
      </c>
      <c r="C44" s="12" t="s">
        <v>1</v>
      </c>
      <c r="D44" s="12" t="s">
        <v>33</v>
      </c>
      <c r="E44" s="10"/>
      <c r="F44" s="13" t="s">
        <v>77</v>
      </c>
      <c r="G44" s="14" t="s">
        <v>36</v>
      </c>
      <c r="H44" s="15"/>
      <c r="I44" s="36">
        <f>INT(S44*V44)</f>
        <v>0</v>
      </c>
      <c r="J44" s="10"/>
      <c r="K44" s="17">
        <f t="shared" si="25"/>
        <v>0</v>
      </c>
      <c r="L44" s="18"/>
      <c r="M44" s="17">
        <f t="shared" si="26"/>
        <v>0</v>
      </c>
      <c r="N44" s="19"/>
      <c r="O44" s="17">
        <f t="shared" si="27"/>
        <v>0</v>
      </c>
      <c r="P44" s="17">
        <f t="shared" si="28"/>
        <v>0</v>
      </c>
      <c r="Q44" s="18" t="str">
        <f t="shared" si="29"/>
        <v>-</v>
      </c>
      <c r="R44" s="10"/>
      <c r="S44" s="35"/>
      <c r="T44" s="18" t="str">
        <f>IFERROR(#REF!/#REF!,"-")</f>
        <v>-</v>
      </c>
      <c r="U44" s="10"/>
      <c r="V44" s="19"/>
      <c r="W44" s="13">
        <f>IFERROR(ROUNDDOWN(S44*V44,0),"-")</f>
        <v>0</v>
      </c>
      <c r="X44" s="17" t="str">
        <f>IFERROR(P44/W44,"-")</f>
        <v>-</v>
      </c>
      <c r="Y44" s="10"/>
      <c r="Z44" s="19"/>
      <c r="AA44" s="13">
        <f>IF(G44="CPI",AE44*Z44,IFERROR(ROUNDDOWN(W44*Z44,0),"-"))</f>
        <v>0</v>
      </c>
      <c r="AB44" s="17" t="str">
        <f>IFERROR(P44/AA44,"-")</f>
        <v>-</v>
      </c>
      <c r="AC44" s="10"/>
      <c r="AD44" s="19"/>
      <c r="AE44" s="13">
        <f>IF(G44="CPI",I44,0)</f>
        <v>0</v>
      </c>
      <c r="AF44" s="17" t="str">
        <f>IFERROR(P44/AE44,"-")</f>
        <v>-</v>
      </c>
      <c r="AG44" s="10"/>
      <c r="AH44" s="18" t="str">
        <f>IFERROR(P44/AJ44,"-")</f>
        <v>-</v>
      </c>
      <c r="AI44" s="15"/>
      <c r="AJ44" s="17">
        <v>0</v>
      </c>
      <c r="AK44" s="10"/>
    </row>
    <row r="45" spans="1:37" ht="30.75" customHeight="1" x14ac:dyDescent="0.3">
      <c r="A45" s="10"/>
      <c r="B45" s="11" t="s">
        <v>0</v>
      </c>
      <c r="C45" s="12" t="s">
        <v>1</v>
      </c>
      <c r="D45" s="12" t="s">
        <v>33</v>
      </c>
      <c r="E45" s="10"/>
      <c r="F45" s="13" t="s">
        <v>77</v>
      </c>
      <c r="G45" s="14" t="s">
        <v>36</v>
      </c>
      <c r="H45" s="15"/>
      <c r="I45" s="36">
        <f>INT(S45*V45)</f>
        <v>0</v>
      </c>
      <c r="J45" s="10"/>
      <c r="K45" s="17">
        <f t="shared" si="25"/>
        <v>0</v>
      </c>
      <c r="L45" s="18"/>
      <c r="M45" s="17">
        <f t="shared" si="26"/>
        <v>0</v>
      </c>
      <c r="N45" s="19"/>
      <c r="O45" s="17">
        <f t="shared" si="27"/>
        <v>0</v>
      </c>
      <c r="P45" s="17">
        <f t="shared" si="28"/>
        <v>0</v>
      </c>
      <c r="Q45" s="18" t="str">
        <f t="shared" si="29"/>
        <v>-</v>
      </c>
      <c r="R45" s="10"/>
      <c r="S45" s="35"/>
      <c r="T45" s="18" t="str">
        <f>IFERROR(#REF!/#REF!,"-")</f>
        <v>-</v>
      </c>
      <c r="U45" s="10"/>
      <c r="V45" s="19"/>
      <c r="W45" s="13">
        <f>IFERROR(ROUNDDOWN(S45*V45,0),"-")</f>
        <v>0</v>
      </c>
      <c r="X45" s="17" t="str">
        <f>IFERROR(P45/W45,"-")</f>
        <v>-</v>
      </c>
      <c r="Y45" s="10"/>
      <c r="Z45" s="19"/>
      <c r="AA45" s="13">
        <f>IF(G45="CPI",AE45*Z45,IFERROR(ROUNDDOWN(W45*Z45,0),"-"))</f>
        <v>0</v>
      </c>
      <c r="AB45" s="17" t="str">
        <f>IFERROR(P45/AA45,"-")</f>
        <v>-</v>
      </c>
      <c r="AC45" s="10"/>
      <c r="AD45" s="19"/>
      <c r="AE45" s="13">
        <f>IF(G45="CPI",I45,0)</f>
        <v>0</v>
      </c>
      <c r="AF45" s="17" t="str">
        <f>IFERROR(P45/AE45,"-")</f>
        <v>-</v>
      </c>
      <c r="AG45" s="10"/>
      <c r="AH45" s="18" t="str">
        <f>IFERROR(P45/AJ45,"-")</f>
        <v>-</v>
      </c>
      <c r="AI45" s="15"/>
      <c r="AJ45" s="17">
        <v>0</v>
      </c>
      <c r="AK45" s="10"/>
    </row>
    <row r="46" spans="1:37" ht="30.75" customHeight="1" x14ac:dyDescent="0.3">
      <c r="A46" s="10"/>
      <c r="B46" s="11" t="s">
        <v>0</v>
      </c>
      <c r="C46" s="12" t="s">
        <v>1</v>
      </c>
      <c r="D46" s="12" t="s">
        <v>33</v>
      </c>
      <c r="E46" s="10"/>
      <c r="F46" s="13" t="s">
        <v>77</v>
      </c>
      <c r="G46" s="14" t="s">
        <v>36</v>
      </c>
      <c r="H46" s="15"/>
      <c r="I46" s="36">
        <f>INT(S46*V46)</f>
        <v>0</v>
      </c>
      <c r="J46" s="10"/>
      <c r="K46" s="17">
        <f t="shared" si="25"/>
        <v>0</v>
      </c>
      <c r="L46" s="18"/>
      <c r="M46" s="17">
        <f t="shared" si="26"/>
        <v>0</v>
      </c>
      <c r="N46" s="19"/>
      <c r="O46" s="17">
        <f t="shared" si="27"/>
        <v>0</v>
      </c>
      <c r="P46" s="17">
        <f t="shared" si="28"/>
        <v>0</v>
      </c>
      <c r="Q46" s="18" t="str">
        <f t="shared" si="29"/>
        <v>-</v>
      </c>
      <c r="R46" s="10"/>
      <c r="S46" s="35"/>
      <c r="T46" s="18" t="str">
        <f>IFERROR(#REF!/#REF!,"-")</f>
        <v>-</v>
      </c>
      <c r="U46" s="10"/>
      <c r="V46" s="19"/>
      <c r="W46" s="13">
        <f>IFERROR(ROUNDDOWN(S46*V46,0),"-")</f>
        <v>0</v>
      </c>
      <c r="X46" s="17" t="str">
        <f>IFERROR(P46/W46,"-")</f>
        <v>-</v>
      </c>
      <c r="Y46" s="10"/>
      <c r="Z46" s="19"/>
      <c r="AA46" s="13">
        <f>IF(G46="CPI",AE46*Z46,IFERROR(ROUNDDOWN(W46*Z46,0),"-"))</f>
        <v>0</v>
      </c>
      <c r="AB46" s="17" t="str">
        <f>IFERROR(P46/AA46,"-")</f>
        <v>-</v>
      </c>
      <c r="AC46" s="10"/>
      <c r="AD46" s="19"/>
      <c r="AE46" s="13">
        <f>IF(G46="CPI",I46,0)</f>
        <v>0</v>
      </c>
      <c r="AF46" s="17" t="str">
        <f>IFERROR(P46/AE46,"-")</f>
        <v>-</v>
      </c>
      <c r="AG46" s="10"/>
      <c r="AH46" s="18" t="str">
        <f>IFERROR(P46/AJ46,"-")</f>
        <v>-</v>
      </c>
      <c r="AI46" s="15"/>
      <c r="AJ46" s="17">
        <v>0</v>
      </c>
      <c r="AK46" s="10"/>
    </row>
    <row r="47" spans="1:37" ht="30.75" customHeight="1" x14ac:dyDescent="0.3">
      <c r="A47" s="10"/>
      <c r="B47" s="11" t="s">
        <v>0</v>
      </c>
      <c r="C47" s="12" t="s">
        <v>1</v>
      </c>
      <c r="D47" s="12" t="s">
        <v>33</v>
      </c>
      <c r="E47" s="10"/>
      <c r="F47" s="13" t="s">
        <v>77</v>
      </c>
      <c r="G47" s="14" t="s">
        <v>36</v>
      </c>
      <c r="H47" s="15"/>
      <c r="I47" s="36">
        <f>INT(S47*V47)</f>
        <v>0</v>
      </c>
      <c r="J47" s="10"/>
      <c r="K47" s="17">
        <f t="shared" si="25"/>
        <v>0</v>
      </c>
      <c r="L47" s="18"/>
      <c r="M47" s="17">
        <f t="shared" si="26"/>
        <v>0</v>
      </c>
      <c r="N47" s="19"/>
      <c r="O47" s="17">
        <f t="shared" si="27"/>
        <v>0</v>
      </c>
      <c r="P47" s="17">
        <f t="shared" si="28"/>
        <v>0</v>
      </c>
      <c r="Q47" s="18" t="str">
        <f t="shared" si="29"/>
        <v>-</v>
      </c>
      <c r="R47" s="10"/>
      <c r="S47" s="35"/>
      <c r="T47" s="18" t="str">
        <f>IFERROR(#REF!/#REF!,"-")</f>
        <v>-</v>
      </c>
      <c r="U47" s="10"/>
      <c r="V47" s="19"/>
      <c r="W47" s="13">
        <f>IFERROR(ROUNDDOWN(S47*V47,0),"-")</f>
        <v>0</v>
      </c>
      <c r="X47" s="17" t="str">
        <f>IFERROR(P47/W47,"-")</f>
        <v>-</v>
      </c>
      <c r="Y47" s="10"/>
      <c r="Z47" s="19"/>
      <c r="AA47" s="13">
        <f>IF(G47="CPI",AE47*Z47,IFERROR(ROUNDDOWN(W47*Z47,0),"-"))</f>
        <v>0</v>
      </c>
      <c r="AB47" s="17" t="str">
        <f>IFERROR(P47/AA47,"-")</f>
        <v>-</v>
      </c>
      <c r="AC47" s="10"/>
      <c r="AD47" s="19"/>
      <c r="AE47" s="13">
        <f>IF(G47="CPI",I47,0)</f>
        <v>0</v>
      </c>
      <c r="AF47" s="17" t="str">
        <f>IFERROR(P47/AE47,"-")</f>
        <v>-</v>
      </c>
      <c r="AG47" s="10"/>
      <c r="AH47" s="18" t="str">
        <f>IFERROR(P47/AJ47,"-")</f>
        <v>-</v>
      </c>
      <c r="AI47" s="15"/>
      <c r="AJ47" s="17">
        <v>0</v>
      </c>
      <c r="AK47" s="10"/>
    </row>
    <row r="48" spans="1:37" ht="17.25" customHeight="1" x14ac:dyDescent="0.3">
      <c r="A48" s="21"/>
      <c r="B48" s="6" t="s">
        <v>37</v>
      </c>
      <c r="C48" s="9" t="s">
        <v>38</v>
      </c>
      <c r="D48" s="9" t="s">
        <v>38</v>
      </c>
      <c r="E48" s="21"/>
      <c r="F48" s="9" t="s">
        <v>38</v>
      </c>
      <c r="G48" s="6" t="s">
        <v>38</v>
      </c>
      <c r="H48" s="6" t="s">
        <v>38</v>
      </c>
      <c r="I48" s="6" t="s">
        <v>38</v>
      </c>
      <c r="J48" s="21"/>
      <c r="K48" s="22">
        <v>0</v>
      </c>
      <c r="L48" s="6" t="s">
        <v>38</v>
      </c>
      <c r="M48" s="22">
        <v>0</v>
      </c>
      <c r="N48" s="9" t="s">
        <v>38</v>
      </c>
      <c r="O48" s="22">
        <f>IFERROR(SUM(O43:O47),"-")</f>
        <v>0</v>
      </c>
      <c r="P48" s="22">
        <f t="shared" si="28"/>
        <v>0</v>
      </c>
      <c r="Q48" s="23">
        <v>0</v>
      </c>
      <c r="R48" s="21"/>
      <c r="S48" s="24">
        <f>IFERROR(SUM(S43:S47),"-")</f>
        <v>0</v>
      </c>
      <c r="T48" s="6" t="s">
        <v>38</v>
      </c>
      <c r="U48" s="21"/>
      <c r="V48" s="23" t="str">
        <f>IFERROR(W48/S48,"-")</f>
        <v>-</v>
      </c>
      <c r="W48" s="24">
        <f>IFERROR(SUM(W43:W47),"-")</f>
        <v>0</v>
      </c>
      <c r="X48" s="22" t="str">
        <f>IFERROR(P48/W48,"-")</f>
        <v>-</v>
      </c>
      <c r="Y48" s="21"/>
      <c r="Z48" s="23" t="str">
        <f>IFERROR(AA48/W48,"-")</f>
        <v>-</v>
      </c>
      <c r="AA48" s="24">
        <v>0</v>
      </c>
      <c r="AB48" s="22" t="str">
        <f>IFERROR(P48/AA48,"-")</f>
        <v>-</v>
      </c>
      <c r="AC48" s="21"/>
      <c r="AD48" s="23" t="str">
        <f>IFERROR(AE48/W48,"-")</f>
        <v>-</v>
      </c>
      <c r="AE48" s="24">
        <v>0</v>
      </c>
      <c r="AF48" s="22" t="str">
        <f>IFERROR(L48/AE48,"-")</f>
        <v>-</v>
      </c>
      <c r="AG48" s="21"/>
      <c r="AH48" s="23" t="str">
        <f>IFERROR(P48/AJ48,"-")</f>
        <v>-</v>
      </c>
      <c r="AI48" s="22" t="str">
        <f>IFERROR(AJ48/#REF!,"-")</f>
        <v>-</v>
      </c>
      <c r="AJ48" s="22">
        <f>IFERROR(SUM(AJ43:AJ47),"-")</f>
        <v>0</v>
      </c>
      <c r="AK48" s="21"/>
    </row>
    <row r="49" spans="1:37" ht="15.75" customHeight="1" x14ac:dyDescent="0.3">
      <c r="A49" s="33"/>
      <c r="B49" s="34"/>
      <c r="C49" s="34"/>
      <c r="D49" s="34"/>
      <c r="E49" s="33"/>
      <c r="F49" s="34"/>
      <c r="G49" s="34"/>
      <c r="H49" s="34"/>
      <c r="I49" s="34"/>
      <c r="J49" s="33"/>
      <c r="K49" s="34"/>
      <c r="L49" s="34"/>
      <c r="M49" s="34"/>
      <c r="N49" s="34"/>
      <c r="O49" s="34"/>
      <c r="P49" s="34"/>
      <c r="Q49" s="34"/>
      <c r="R49" s="33"/>
      <c r="S49" s="34"/>
      <c r="T49" s="34"/>
      <c r="U49" s="33"/>
      <c r="V49" s="34"/>
      <c r="W49" s="34"/>
      <c r="X49" s="34"/>
      <c r="Y49" s="33"/>
      <c r="Z49" s="34"/>
      <c r="AA49" s="34"/>
      <c r="AB49" s="34"/>
      <c r="AC49" s="33"/>
      <c r="AD49" s="34"/>
      <c r="AE49" s="34"/>
      <c r="AF49" s="34"/>
      <c r="AG49" s="33"/>
      <c r="AH49" s="34"/>
      <c r="AI49" s="34"/>
      <c r="AJ49" s="34"/>
      <c r="AK49" s="33"/>
    </row>
    <row r="50" spans="1:37" ht="51.75" customHeight="1" x14ac:dyDescent="0.3">
      <c r="A50" s="1"/>
      <c r="B50" s="2" t="s">
        <v>0</v>
      </c>
      <c r="C50" s="2" t="s">
        <v>1</v>
      </c>
      <c r="D50" s="2" t="s">
        <v>2</v>
      </c>
      <c r="E50" s="1"/>
      <c r="F50" s="3" t="s">
        <v>3</v>
      </c>
      <c r="G50" s="2" t="s">
        <v>69</v>
      </c>
      <c r="H50" s="2" t="s">
        <v>70</v>
      </c>
      <c r="I50" s="2" t="s">
        <v>71</v>
      </c>
      <c r="J50" s="1"/>
      <c r="K50" s="4" t="s">
        <v>7</v>
      </c>
      <c r="L50" s="3" t="s">
        <v>8</v>
      </c>
      <c r="M50" s="4" t="s">
        <v>9</v>
      </c>
      <c r="N50" s="3" t="s">
        <v>10</v>
      </c>
      <c r="O50" s="5" t="s">
        <v>11</v>
      </c>
      <c r="P50" s="5" t="s">
        <v>12</v>
      </c>
      <c r="Q50" s="4" t="s">
        <v>13</v>
      </c>
      <c r="R50" s="1"/>
      <c r="S50" s="2" t="s">
        <v>14</v>
      </c>
      <c r="T50" s="2" t="s">
        <v>20</v>
      </c>
      <c r="U50" s="1"/>
      <c r="V50" s="6" t="s">
        <v>21</v>
      </c>
      <c r="W50" s="7" t="s">
        <v>22</v>
      </c>
      <c r="X50" s="7" t="s">
        <v>23</v>
      </c>
      <c r="Y50" s="1"/>
      <c r="Z50" s="6" t="s">
        <v>24</v>
      </c>
      <c r="AA50" s="8" t="s">
        <v>25</v>
      </c>
      <c r="AB50" s="8" t="s">
        <v>26</v>
      </c>
      <c r="AC50" s="1"/>
      <c r="AD50" s="9" t="s">
        <v>27</v>
      </c>
      <c r="AE50" s="8" t="s">
        <v>28</v>
      </c>
      <c r="AF50" s="8" t="s">
        <v>59</v>
      </c>
      <c r="AG50" s="1"/>
      <c r="AH50" s="9" t="s">
        <v>30</v>
      </c>
      <c r="AI50" s="8" t="s">
        <v>31</v>
      </c>
      <c r="AJ50" s="8" t="s">
        <v>32</v>
      </c>
      <c r="AK50" s="1"/>
    </row>
    <row r="51" spans="1:37" ht="30.75" customHeight="1" x14ac:dyDescent="0.3">
      <c r="A51" s="10"/>
      <c r="B51" s="11" t="s">
        <v>0</v>
      </c>
      <c r="C51" s="12" t="s">
        <v>1</v>
      </c>
      <c r="D51" s="12" t="s">
        <v>33</v>
      </c>
      <c r="E51" s="10"/>
      <c r="F51" s="13" t="s">
        <v>78</v>
      </c>
      <c r="G51" s="14" t="s">
        <v>36</v>
      </c>
      <c r="H51" s="15"/>
      <c r="I51" s="36">
        <f>INT(S51*V51)</f>
        <v>0</v>
      </c>
      <c r="J51" s="10"/>
      <c r="K51" s="17">
        <f t="shared" ref="K51:K55" si="30">IFERROR((H51*I51),"-")</f>
        <v>0</v>
      </c>
      <c r="L51" s="18"/>
      <c r="M51" s="17">
        <f t="shared" ref="M51:M55" si="31">IFERROR(K51*(1-L51),"-")</f>
        <v>0</v>
      </c>
      <c r="N51" s="19"/>
      <c r="O51" s="17">
        <f t="shared" ref="O51:O55" si="32">IFERROR(M51*(1+N51),"-")</f>
        <v>0</v>
      </c>
      <c r="P51" s="17">
        <f t="shared" ref="P51:P56" si="33">IFERROR(O51*1.2,"-")</f>
        <v>0</v>
      </c>
      <c r="Q51" s="18" t="str">
        <f t="shared" ref="Q51:Q55" si="34">IFERROR(P51/$P$8,"-")</f>
        <v>-</v>
      </c>
      <c r="R51" s="10"/>
      <c r="S51" s="35"/>
      <c r="T51" s="18" t="str">
        <f>IFERROR(#REF!/#REF!,"-")</f>
        <v>-</v>
      </c>
      <c r="U51" s="10"/>
      <c r="V51" s="19"/>
      <c r="W51" s="13">
        <f>IFERROR(ROUNDDOWN(S51*V51,0),"-")</f>
        <v>0</v>
      </c>
      <c r="X51" s="17" t="str">
        <f>IFERROR(P51/W51,"-")</f>
        <v>-</v>
      </c>
      <c r="Y51" s="10"/>
      <c r="Z51" s="19"/>
      <c r="AA51" s="13">
        <f>IF(G51="CPI",AE51*Z51,IFERROR(ROUNDDOWN(W51*Z51,0),"-"))</f>
        <v>0</v>
      </c>
      <c r="AB51" s="17" t="str">
        <f>IFERROR(P51/AA51,"-")</f>
        <v>-</v>
      </c>
      <c r="AC51" s="10"/>
      <c r="AD51" s="19"/>
      <c r="AE51" s="13">
        <f>IF(G51="CPI",I51,0)</f>
        <v>0</v>
      </c>
      <c r="AF51" s="17" t="str">
        <f>IFERROR(P51/AE51,"-")</f>
        <v>-</v>
      </c>
      <c r="AG51" s="10"/>
      <c r="AH51" s="18" t="str">
        <f>IFERROR(P51/AJ51,"-")</f>
        <v>-</v>
      </c>
      <c r="AI51" s="15"/>
      <c r="AJ51" s="17">
        <v>0</v>
      </c>
      <c r="AK51" s="10"/>
    </row>
    <row r="52" spans="1:37" ht="30.75" customHeight="1" x14ac:dyDescent="0.3">
      <c r="A52" s="10"/>
      <c r="B52" s="11" t="s">
        <v>0</v>
      </c>
      <c r="C52" s="12" t="s">
        <v>1</v>
      </c>
      <c r="D52" s="12" t="s">
        <v>33</v>
      </c>
      <c r="E52" s="10"/>
      <c r="F52" s="13" t="s">
        <v>78</v>
      </c>
      <c r="G52" s="14" t="s">
        <v>36</v>
      </c>
      <c r="H52" s="15"/>
      <c r="I52" s="36">
        <f>INT(S52*V52)</f>
        <v>0</v>
      </c>
      <c r="J52" s="10"/>
      <c r="K52" s="17">
        <f t="shared" si="30"/>
        <v>0</v>
      </c>
      <c r="L52" s="18"/>
      <c r="M52" s="17">
        <f t="shared" si="31"/>
        <v>0</v>
      </c>
      <c r="N52" s="19"/>
      <c r="O52" s="17">
        <f t="shared" si="32"/>
        <v>0</v>
      </c>
      <c r="P52" s="17">
        <f t="shared" si="33"/>
        <v>0</v>
      </c>
      <c r="Q52" s="18" t="str">
        <f t="shared" si="34"/>
        <v>-</v>
      </c>
      <c r="R52" s="10"/>
      <c r="S52" s="35"/>
      <c r="T52" s="18" t="str">
        <f>IFERROR(#REF!/#REF!,"-")</f>
        <v>-</v>
      </c>
      <c r="U52" s="10"/>
      <c r="V52" s="19"/>
      <c r="W52" s="13">
        <f>IFERROR(ROUNDDOWN(S52*V52,0),"-")</f>
        <v>0</v>
      </c>
      <c r="X52" s="17" t="str">
        <f>IFERROR(P52/W52,"-")</f>
        <v>-</v>
      </c>
      <c r="Y52" s="10"/>
      <c r="Z52" s="19"/>
      <c r="AA52" s="13">
        <f>IF(G52="CPI",AE52*Z52,IFERROR(ROUNDDOWN(W52*Z52,0),"-"))</f>
        <v>0</v>
      </c>
      <c r="AB52" s="17" t="str">
        <f>IFERROR(P52/AA52,"-")</f>
        <v>-</v>
      </c>
      <c r="AC52" s="10"/>
      <c r="AD52" s="19"/>
      <c r="AE52" s="13">
        <f>IF(G52="CPI",I52,0)</f>
        <v>0</v>
      </c>
      <c r="AF52" s="17" t="str">
        <f>IFERROR(P52/AE52,"-")</f>
        <v>-</v>
      </c>
      <c r="AG52" s="10"/>
      <c r="AH52" s="18" t="str">
        <f>IFERROR(P52/AJ52,"-")</f>
        <v>-</v>
      </c>
      <c r="AI52" s="15"/>
      <c r="AJ52" s="17">
        <v>0</v>
      </c>
      <c r="AK52" s="10"/>
    </row>
    <row r="53" spans="1:37" ht="30.75" customHeight="1" x14ac:dyDescent="0.3">
      <c r="A53" s="10"/>
      <c r="B53" s="11" t="s">
        <v>0</v>
      </c>
      <c r="C53" s="12" t="s">
        <v>1</v>
      </c>
      <c r="D53" s="12" t="s">
        <v>33</v>
      </c>
      <c r="E53" s="10"/>
      <c r="F53" s="13" t="s">
        <v>78</v>
      </c>
      <c r="G53" s="14" t="s">
        <v>36</v>
      </c>
      <c r="H53" s="15"/>
      <c r="I53" s="36">
        <f>INT(S53*V53)</f>
        <v>0</v>
      </c>
      <c r="J53" s="10"/>
      <c r="K53" s="17">
        <f t="shared" si="30"/>
        <v>0</v>
      </c>
      <c r="L53" s="18"/>
      <c r="M53" s="17">
        <f t="shared" si="31"/>
        <v>0</v>
      </c>
      <c r="N53" s="19"/>
      <c r="O53" s="17">
        <f t="shared" si="32"/>
        <v>0</v>
      </c>
      <c r="P53" s="17">
        <f t="shared" si="33"/>
        <v>0</v>
      </c>
      <c r="Q53" s="18" t="str">
        <f t="shared" si="34"/>
        <v>-</v>
      </c>
      <c r="R53" s="10"/>
      <c r="S53" s="35"/>
      <c r="T53" s="18" t="str">
        <f>IFERROR(#REF!/#REF!,"-")</f>
        <v>-</v>
      </c>
      <c r="U53" s="10"/>
      <c r="V53" s="19"/>
      <c r="W53" s="13">
        <f>IFERROR(ROUNDDOWN(S53*V53,0),"-")</f>
        <v>0</v>
      </c>
      <c r="X53" s="17" t="str">
        <f>IFERROR(P53/W53,"-")</f>
        <v>-</v>
      </c>
      <c r="Y53" s="10"/>
      <c r="Z53" s="19"/>
      <c r="AA53" s="13">
        <f>IF(G53="CPI",AE53*Z53,IFERROR(ROUNDDOWN(W53*Z53,0),"-"))</f>
        <v>0</v>
      </c>
      <c r="AB53" s="17" t="str">
        <f>IFERROR(P53/AA53,"-")</f>
        <v>-</v>
      </c>
      <c r="AC53" s="10"/>
      <c r="AD53" s="19"/>
      <c r="AE53" s="13">
        <f>IF(G53="CPI",I53,0)</f>
        <v>0</v>
      </c>
      <c r="AF53" s="17" t="str">
        <f>IFERROR(P53/AE53,"-")</f>
        <v>-</v>
      </c>
      <c r="AG53" s="10"/>
      <c r="AH53" s="18" t="str">
        <f>IFERROR(P53/AJ53,"-")</f>
        <v>-</v>
      </c>
      <c r="AI53" s="15"/>
      <c r="AJ53" s="17">
        <v>0</v>
      </c>
      <c r="AK53" s="10"/>
    </row>
    <row r="54" spans="1:37" ht="30.75" customHeight="1" x14ac:dyDescent="0.3">
      <c r="A54" s="10"/>
      <c r="B54" s="11" t="s">
        <v>0</v>
      </c>
      <c r="C54" s="12" t="s">
        <v>1</v>
      </c>
      <c r="D54" s="12" t="s">
        <v>33</v>
      </c>
      <c r="E54" s="10"/>
      <c r="F54" s="13" t="s">
        <v>78</v>
      </c>
      <c r="G54" s="14" t="s">
        <v>36</v>
      </c>
      <c r="H54" s="15"/>
      <c r="I54" s="36">
        <f>INT(S54*V54)</f>
        <v>0</v>
      </c>
      <c r="J54" s="10"/>
      <c r="K54" s="17">
        <f t="shared" si="30"/>
        <v>0</v>
      </c>
      <c r="L54" s="18"/>
      <c r="M54" s="17">
        <f t="shared" si="31"/>
        <v>0</v>
      </c>
      <c r="N54" s="19"/>
      <c r="O54" s="17">
        <f t="shared" si="32"/>
        <v>0</v>
      </c>
      <c r="P54" s="17">
        <f t="shared" si="33"/>
        <v>0</v>
      </c>
      <c r="Q54" s="18" t="str">
        <f t="shared" si="34"/>
        <v>-</v>
      </c>
      <c r="R54" s="10"/>
      <c r="S54" s="35"/>
      <c r="T54" s="18" t="str">
        <f>IFERROR(#REF!/#REF!,"-")</f>
        <v>-</v>
      </c>
      <c r="U54" s="10"/>
      <c r="V54" s="19"/>
      <c r="W54" s="13">
        <f>IFERROR(ROUNDDOWN(S54*V54,0),"-")</f>
        <v>0</v>
      </c>
      <c r="X54" s="17" t="str">
        <f>IFERROR(P54/W54,"-")</f>
        <v>-</v>
      </c>
      <c r="Y54" s="10"/>
      <c r="Z54" s="19"/>
      <c r="AA54" s="13">
        <f>IF(G54="CPI",AE54*Z54,IFERROR(ROUNDDOWN(W54*Z54,0),"-"))</f>
        <v>0</v>
      </c>
      <c r="AB54" s="17" t="str">
        <f>IFERROR(P54/AA54,"-")</f>
        <v>-</v>
      </c>
      <c r="AC54" s="10"/>
      <c r="AD54" s="19"/>
      <c r="AE54" s="13">
        <f>IF(G54="CPI",I54,0)</f>
        <v>0</v>
      </c>
      <c r="AF54" s="17" t="str">
        <f>IFERROR(P54/AE54,"-")</f>
        <v>-</v>
      </c>
      <c r="AG54" s="10"/>
      <c r="AH54" s="18" t="str">
        <f>IFERROR(P54/AJ54,"-")</f>
        <v>-</v>
      </c>
      <c r="AI54" s="15"/>
      <c r="AJ54" s="17">
        <v>0</v>
      </c>
      <c r="AK54" s="10"/>
    </row>
    <row r="55" spans="1:37" ht="30.75" customHeight="1" x14ac:dyDescent="0.3">
      <c r="A55" s="10"/>
      <c r="B55" s="11" t="s">
        <v>0</v>
      </c>
      <c r="C55" s="12" t="s">
        <v>1</v>
      </c>
      <c r="D55" s="12" t="s">
        <v>33</v>
      </c>
      <c r="E55" s="10"/>
      <c r="F55" s="13" t="s">
        <v>78</v>
      </c>
      <c r="G55" s="14" t="s">
        <v>36</v>
      </c>
      <c r="H55" s="15"/>
      <c r="I55" s="36">
        <f>INT(S55*V55)</f>
        <v>0</v>
      </c>
      <c r="J55" s="10"/>
      <c r="K55" s="17">
        <f t="shared" si="30"/>
        <v>0</v>
      </c>
      <c r="L55" s="18"/>
      <c r="M55" s="17">
        <f t="shared" si="31"/>
        <v>0</v>
      </c>
      <c r="N55" s="19"/>
      <c r="O55" s="17">
        <f t="shared" si="32"/>
        <v>0</v>
      </c>
      <c r="P55" s="17">
        <f t="shared" si="33"/>
        <v>0</v>
      </c>
      <c r="Q55" s="18" t="str">
        <f t="shared" si="34"/>
        <v>-</v>
      </c>
      <c r="R55" s="10"/>
      <c r="S55" s="35"/>
      <c r="T55" s="18" t="str">
        <f>IFERROR(#REF!/#REF!,"-")</f>
        <v>-</v>
      </c>
      <c r="U55" s="10"/>
      <c r="V55" s="19"/>
      <c r="W55" s="13">
        <f>IFERROR(ROUNDDOWN(S55*V55,0),"-")</f>
        <v>0</v>
      </c>
      <c r="X55" s="17" t="str">
        <f>IFERROR(P55/W55,"-")</f>
        <v>-</v>
      </c>
      <c r="Y55" s="10"/>
      <c r="Z55" s="19"/>
      <c r="AA55" s="13">
        <f>IF(G55="CPI",AE55*Z55,IFERROR(ROUNDDOWN(W55*Z55,0),"-"))</f>
        <v>0</v>
      </c>
      <c r="AB55" s="17" t="str">
        <f>IFERROR(P55/AA55,"-")</f>
        <v>-</v>
      </c>
      <c r="AC55" s="10"/>
      <c r="AD55" s="19"/>
      <c r="AE55" s="13">
        <f>IF(G55="CPI",I55,0)</f>
        <v>0</v>
      </c>
      <c r="AF55" s="17" t="str">
        <f>IFERROR(P55/AE55,"-")</f>
        <v>-</v>
      </c>
      <c r="AG55" s="10"/>
      <c r="AH55" s="18" t="str">
        <f>IFERROR(P55/AJ55,"-")</f>
        <v>-</v>
      </c>
      <c r="AI55" s="15"/>
      <c r="AJ55" s="17">
        <v>0</v>
      </c>
      <c r="AK55" s="10"/>
    </row>
    <row r="56" spans="1:37" ht="17.25" customHeight="1" x14ac:dyDescent="0.3">
      <c r="A56" s="21"/>
      <c r="B56" s="6" t="s">
        <v>37</v>
      </c>
      <c r="C56" s="9" t="s">
        <v>38</v>
      </c>
      <c r="D56" s="9" t="s">
        <v>38</v>
      </c>
      <c r="E56" s="21"/>
      <c r="F56" s="9" t="s">
        <v>38</v>
      </c>
      <c r="G56" s="6" t="s">
        <v>38</v>
      </c>
      <c r="H56" s="6" t="s">
        <v>38</v>
      </c>
      <c r="I56" s="6" t="s">
        <v>38</v>
      </c>
      <c r="J56" s="21"/>
      <c r="K56" s="22">
        <v>0</v>
      </c>
      <c r="L56" s="6" t="s">
        <v>38</v>
      </c>
      <c r="M56" s="22">
        <v>0</v>
      </c>
      <c r="N56" s="9" t="s">
        <v>38</v>
      </c>
      <c r="O56" s="22">
        <f>IFERROR(SUM(O51:O55),"-")</f>
        <v>0</v>
      </c>
      <c r="P56" s="22">
        <f t="shared" si="33"/>
        <v>0</v>
      </c>
      <c r="Q56" s="23">
        <v>0</v>
      </c>
      <c r="R56" s="21"/>
      <c r="S56" s="24">
        <f>IFERROR(SUM(S51:S55),"-")</f>
        <v>0</v>
      </c>
      <c r="T56" s="6" t="s">
        <v>38</v>
      </c>
      <c r="U56" s="21"/>
      <c r="V56" s="23" t="str">
        <f>IFERROR(W56/S56,"-")</f>
        <v>-</v>
      </c>
      <c r="W56" s="24">
        <f>IFERROR(SUM(W51:W55),"-")</f>
        <v>0</v>
      </c>
      <c r="X56" s="22" t="str">
        <f>IFERROR(P56/W56,"-")</f>
        <v>-</v>
      </c>
      <c r="Y56" s="21"/>
      <c r="Z56" s="23" t="str">
        <f>IFERROR(AA56/W56,"-")</f>
        <v>-</v>
      </c>
      <c r="AA56" s="24">
        <v>0</v>
      </c>
      <c r="AB56" s="22" t="str">
        <f>IFERROR(P56/AA56,"-")</f>
        <v>-</v>
      </c>
      <c r="AC56" s="21"/>
      <c r="AD56" s="23" t="str">
        <f>IFERROR(AE56/W56,"-")</f>
        <v>-</v>
      </c>
      <c r="AE56" s="24">
        <v>0</v>
      </c>
      <c r="AF56" s="22" t="str">
        <f>IFERROR(L56/AE56,"-")</f>
        <v>-</v>
      </c>
      <c r="AG56" s="21"/>
      <c r="AH56" s="23" t="str">
        <f>IFERROR(P56/AJ56,"-")</f>
        <v>-</v>
      </c>
      <c r="AI56" s="22" t="str">
        <f>IFERROR(AJ56/#REF!,"-")</f>
        <v>-</v>
      </c>
      <c r="AJ56" s="22">
        <f>IFERROR(SUM(AJ51:AJ55),"-")</f>
        <v>0</v>
      </c>
      <c r="AK56" s="21"/>
    </row>
    <row r="57" spans="1:37" ht="15.75" customHeight="1" x14ac:dyDescent="0.3">
      <c r="A57" s="33"/>
      <c r="B57" s="34"/>
      <c r="C57" s="34"/>
      <c r="D57" s="34"/>
      <c r="E57" s="33"/>
      <c r="F57" s="34"/>
      <c r="G57" s="34"/>
      <c r="H57" s="34"/>
      <c r="I57" s="34"/>
      <c r="J57" s="33"/>
      <c r="K57" s="34"/>
      <c r="L57" s="34"/>
      <c r="M57" s="34"/>
      <c r="N57" s="34"/>
      <c r="O57" s="34"/>
      <c r="P57" s="34"/>
      <c r="Q57" s="34"/>
      <c r="R57" s="33"/>
      <c r="S57" s="34"/>
      <c r="T57" s="34"/>
      <c r="U57" s="33"/>
      <c r="V57" s="34"/>
      <c r="W57" s="34"/>
      <c r="X57" s="34"/>
      <c r="Y57" s="33"/>
      <c r="Z57" s="34"/>
      <c r="AA57" s="34"/>
      <c r="AB57" s="34"/>
      <c r="AC57" s="33"/>
      <c r="AD57" s="34"/>
      <c r="AE57" s="34"/>
      <c r="AF57" s="34"/>
      <c r="AG57" s="33"/>
      <c r="AH57" s="34"/>
      <c r="AI57" s="34"/>
      <c r="AJ57" s="34"/>
      <c r="AK57" s="33"/>
    </row>
    <row r="58" spans="1:37" ht="51.75" customHeight="1" x14ac:dyDescent="0.3">
      <c r="A58" s="1"/>
      <c r="B58" s="2" t="s">
        <v>0</v>
      </c>
      <c r="C58" s="2" t="s">
        <v>1</v>
      </c>
      <c r="D58" s="2" t="s">
        <v>2</v>
      </c>
      <c r="E58" s="1"/>
      <c r="F58" s="3" t="s">
        <v>3</v>
      </c>
      <c r="G58" s="2" t="s">
        <v>69</v>
      </c>
      <c r="H58" s="2" t="s">
        <v>70</v>
      </c>
      <c r="I58" s="2" t="s">
        <v>71</v>
      </c>
      <c r="J58" s="1"/>
      <c r="K58" s="4" t="s">
        <v>7</v>
      </c>
      <c r="L58" s="3" t="s">
        <v>8</v>
      </c>
      <c r="M58" s="4" t="s">
        <v>9</v>
      </c>
      <c r="N58" s="3" t="s">
        <v>10</v>
      </c>
      <c r="O58" s="5" t="s">
        <v>11</v>
      </c>
      <c r="P58" s="5" t="s">
        <v>12</v>
      </c>
      <c r="Q58" s="4" t="s">
        <v>13</v>
      </c>
      <c r="R58" s="1"/>
      <c r="S58" s="2" t="s">
        <v>14</v>
      </c>
      <c r="T58" s="2" t="s">
        <v>20</v>
      </c>
      <c r="U58" s="1"/>
      <c r="V58" s="6" t="s">
        <v>21</v>
      </c>
      <c r="W58" s="7" t="s">
        <v>22</v>
      </c>
      <c r="X58" s="7" t="s">
        <v>23</v>
      </c>
      <c r="Y58" s="1"/>
      <c r="Z58" s="6" t="s">
        <v>24</v>
      </c>
      <c r="AA58" s="8" t="s">
        <v>25</v>
      </c>
      <c r="AB58" s="8" t="s">
        <v>26</v>
      </c>
      <c r="AC58" s="1"/>
      <c r="AD58" s="9" t="s">
        <v>27</v>
      </c>
      <c r="AE58" s="8" t="s">
        <v>28</v>
      </c>
      <c r="AF58" s="8" t="s">
        <v>59</v>
      </c>
      <c r="AG58" s="1"/>
      <c r="AH58" s="9" t="s">
        <v>30</v>
      </c>
      <c r="AI58" s="8" t="s">
        <v>31</v>
      </c>
      <c r="AJ58" s="8" t="s">
        <v>32</v>
      </c>
      <c r="AK58" s="1"/>
    </row>
    <row r="59" spans="1:37" ht="30.75" customHeight="1" x14ac:dyDescent="0.3">
      <c r="A59" s="10"/>
      <c r="B59" s="11" t="s">
        <v>0</v>
      </c>
      <c r="C59" s="12" t="s">
        <v>1</v>
      </c>
      <c r="D59" s="12" t="s">
        <v>33</v>
      </c>
      <c r="E59" s="10"/>
      <c r="F59" s="13" t="s">
        <v>79</v>
      </c>
      <c r="G59" s="14" t="s">
        <v>36</v>
      </c>
      <c r="H59" s="15"/>
      <c r="I59" s="36">
        <f>INT(S59*V59)</f>
        <v>0</v>
      </c>
      <c r="J59" s="10"/>
      <c r="K59" s="17">
        <f t="shared" ref="K59:K63" si="35">IFERROR((H59*I59),"-")</f>
        <v>0</v>
      </c>
      <c r="L59" s="18"/>
      <c r="M59" s="17">
        <f t="shared" ref="M59:M63" si="36">IFERROR(K59*(1-L59),"-")</f>
        <v>0</v>
      </c>
      <c r="N59" s="19"/>
      <c r="O59" s="17">
        <f t="shared" ref="O59:O63" si="37">IFERROR(M59*(1+N59),"-")</f>
        <v>0</v>
      </c>
      <c r="P59" s="17">
        <f t="shared" ref="P59:P64" si="38">IFERROR(O59*1.2,"-")</f>
        <v>0</v>
      </c>
      <c r="Q59" s="18" t="str">
        <f t="shared" ref="Q59:Q63" si="39">IFERROR(P59/$P$8,"-")</f>
        <v>-</v>
      </c>
      <c r="R59" s="10"/>
      <c r="S59" s="35"/>
      <c r="T59" s="18" t="str">
        <f>IFERROR(#REF!/#REF!,"-")</f>
        <v>-</v>
      </c>
      <c r="U59" s="10"/>
      <c r="V59" s="19"/>
      <c r="W59" s="13">
        <f>IFERROR(ROUNDDOWN(S59*V59,0),"-")</f>
        <v>0</v>
      </c>
      <c r="X59" s="17" t="str">
        <f>IFERROR(P59/W59,"-")</f>
        <v>-</v>
      </c>
      <c r="Y59" s="10"/>
      <c r="Z59" s="19"/>
      <c r="AA59" s="13">
        <f>IF(G59="CPI",AE59*Z59,IFERROR(ROUNDDOWN(W59*Z59,0),"-"))</f>
        <v>0</v>
      </c>
      <c r="AB59" s="17" t="str">
        <f>IFERROR(P59/AA59,"-")</f>
        <v>-</v>
      </c>
      <c r="AC59" s="10"/>
      <c r="AD59" s="19"/>
      <c r="AE59" s="13">
        <f>IF(G59="CPI",I59,0)</f>
        <v>0</v>
      </c>
      <c r="AF59" s="17" t="str">
        <f>IFERROR(P59/AE59,"-")</f>
        <v>-</v>
      </c>
      <c r="AG59" s="10"/>
      <c r="AH59" s="18" t="str">
        <f>IFERROR(P59/AJ59,"-")</f>
        <v>-</v>
      </c>
      <c r="AI59" s="15"/>
      <c r="AJ59" s="17">
        <v>0</v>
      </c>
      <c r="AK59" s="10"/>
    </row>
    <row r="60" spans="1:37" ht="30.75" customHeight="1" x14ac:dyDescent="0.3">
      <c r="A60" s="10"/>
      <c r="B60" s="11" t="s">
        <v>0</v>
      </c>
      <c r="C60" s="12" t="s">
        <v>1</v>
      </c>
      <c r="D60" s="12" t="s">
        <v>33</v>
      </c>
      <c r="E60" s="10"/>
      <c r="F60" s="13" t="s">
        <v>79</v>
      </c>
      <c r="G60" s="14" t="s">
        <v>36</v>
      </c>
      <c r="H60" s="15"/>
      <c r="I60" s="36">
        <f>INT(S60*V60)</f>
        <v>0</v>
      </c>
      <c r="J60" s="10"/>
      <c r="K60" s="17">
        <f t="shared" si="35"/>
        <v>0</v>
      </c>
      <c r="L60" s="18"/>
      <c r="M60" s="17">
        <f t="shared" si="36"/>
        <v>0</v>
      </c>
      <c r="N60" s="19"/>
      <c r="O60" s="17">
        <f t="shared" si="37"/>
        <v>0</v>
      </c>
      <c r="P60" s="17">
        <f t="shared" si="38"/>
        <v>0</v>
      </c>
      <c r="Q60" s="18" t="str">
        <f t="shared" si="39"/>
        <v>-</v>
      </c>
      <c r="R60" s="10"/>
      <c r="S60" s="35"/>
      <c r="T60" s="18" t="str">
        <f>IFERROR(#REF!/#REF!,"-")</f>
        <v>-</v>
      </c>
      <c r="U60" s="10"/>
      <c r="V60" s="19"/>
      <c r="W60" s="13">
        <f>IFERROR(ROUNDDOWN(S60*V60,0),"-")</f>
        <v>0</v>
      </c>
      <c r="X60" s="17" t="str">
        <f>IFERROR(P60/W60,"-")</f>
        <v>-</v>
      </c>
      <c r="Y60" s="10"/>
      <c r="Z60" s="19"/>
      <c r="AA60" s="13">
        <f>IF(G60="CPI",AE60*Z60,IFERROR(ROUNDDOWN(W60*Z60,0),"-"))</f>
        <v>0</v>
      </c>
      <c r="AB60" s="17" t="str">
        <f>IFERROR(P60/AA60,"-")</f>
        <v>-</v>
      </c>
      <c r="AC60" s="10"/>
      <c r="AD60" s="19"/>
      <c r="AE60" s="13">
        <f>IF(G60="CPI",I60,0)</f>
        <v>0</v>
      </c>
      <c r="AF60" s="17" t="str">
        <f>IFERROR(P60/AE60,"-")</f>
        <v>-</v>
      </c>
      <c r="AG60" s="10"/>
      <c r="AH60" s="18" t="str">
        <f>IFERROR(P60/AJ60,"-")</f>
        <v>-</v>
      </c>
      <c r="AI60" s="15"/>
      <c r="AJ60" s="17">
        <v>0</v>
      </c>
      <c r="AK60" s="10"/>
    </row>
    <row r="61" spans="1:37" ht="30.75" customHeight="1" x14ac:dyDescent="0.3">
      <c r="A61" s="10"/>
      <c r="B61" s="11" t="s">
        <v>0</v>
      </c>
      <c r="C61" s="12" t="s">
        <v>1</v>
      </c>
      <c r="D61" s="12" t="s">
        <v>33</v>
      </c>
      <c r="E61" s="10"/>
      <c r="F61" s="13" t="s">
        <v>79</v>
      </c>
      <c r="G61" s="14" t="s">
        <v>36</v>
      </c>
      <c r="H61" s="15"/>
      <c r="I61" s="36">
        <f>INT(S61*V61)</f>
        <v>0</v>
      </c>
      <c r="J61" s="10"/>
      <c r="K61" s="17">
        <f t="shared" si="35"/>
        <v>0</v>
      </c>
      <c r="L61" s="18"/>
      <c r="M61" s="17">
        <f t="shared" si="36"/>
        <v>0</v>
      </c>
      <c r="N61" s="19"/>
      <c r="O61" s="17">
        <f t="shared" si="37"/>
        <v>0</v>
      </c>
      <c r="P61" s="17">
        <f t="shared" si="38"/>
        <v>0</v>
      </c>
      <c r="Q61" s="18" t="str">
        <f t="shared" si="39"/>
        <v>-</v>
      </c>
      <c r="R61" s="10"/>
      <c r="S61" s="35"/>
      <c r="T61" s="18" t="str">
        <f>IFERROR(#REF!/#REF!,"-")</f>
        <v>-</v>
      </c>
      <c r="U61" s="10"/>
      <c r="V61" s="19"/>
      <c r="W61" s="13">
        <f>IFERROR(ROUNDDOWN(S61*V61,0),"-")</f>
        <v>0</v>
      </c>
      <c r="X61" s="17" t="str">
        <f>IFERROR(P61/W61,"-")</f>
        <v>-</v>
      </c>
      <c r="Y61" s="10"/>
      <c r="Z61" s="19"/>
      <c r="AA61" s="13">
        <f>IF(G61="CPI",AE61*Z61,IFERROR(ROUNDDOWN(W61*Z61,0),"-"))</f>
        <v>0</v>
      </c>
      <c r="AB61" s="17" t="str">
        <f>IFERROR(P61/AA61,"-")</f>
        <v>-</v>
      </c>
      <c r="AC61" s="10"/>
      <c r="AD61" s="19"/>
      <c r="AE61" s="13">
        <f>IF(G61="CPI",I61,0)</f>
        <v>0</v>
      </c>
      <c r="AF61" s="17" t="str">
        <f>IFERROR(P61/AE61,"-")</f>
        <v>-</v>
      </c>
      <c r="AG61" s="10"/>
      <c r="AH61" s="18" t="str">
        <f>IFERROR(P61/AJ61,"-")</f>
        <v>-</v>
      </c>
      <c r="AI61" s="15"/>
      <c r="AJ61" s="17">
        <v>0</v>
      </c>
      <c r="AK61" s="10"/>
    </row>
    <row r="62" spans="1:37" ht="30.75" customHeight="1" x14ac:dyDescent="0.3">
      <c r="A62" s="10"/>
      <c r="B62" s="11" t="s">
        <v>0</v>
      </c>
      <c r="C62" s="12" t="s">
        <v>1</v>
      </c>
      <c r="D62" s="12" t="s">
        <v>33</v>
      </c>
      <c r="E62" s="10"/>
      <c r="F62" s="13" t="s">
        <v>79</v>
      </c>
      <c r="G62" s="14" t="s">
        <v>36</v>
      </c>
      <c r="H62" s="15"/>
      <c r="I62" s="36">
        <f>INT(S62*V62)</f>
        <v>0</v>
      </c>
      <c r="J62" s="10"/>
      <c r="K62" s="17">
        <f t="shared" si="35"/>
        <v>0</v>
      </c>
      <c r="L62" s="18"/>
      <c r="M62" s="17">
        <f t="shared" si="36"/>
        <v>0</v>
      </c>
      <c r="N62" s="19"/>
      <c r="O62" s="17">
        <f t="shared" si="37"/>
        <v>0</v>
      </c>
      <c r="P62" s="17">
        <f t="shared" si="38"/>
        <v>0</v>
      </c>
      <c r="Q62" s="18" t="str">
        <f t="shared" si="39"/>
        <v>-</v>
      </c>
      <c r="R62" s="10"/>
      <c r="S62" s="35"/>
      <c r="T62" s="18" t="str">
        <f>IFERROR(#REF!/#REF!,"-")</f>
        <v>-</v>
      </c>
      <c r="U62" s="10"/>
      <c r="V62" s="19"/>
      <c r="W62" s="13">
        <f>IFERROR(ROUNDDOWN(S62*V62,0),"-")</f>
        <v>0</v>
      </c>
      <c r="X62" s="17" t="str">
        <f>IFERROR(P62/W62,"-")</f>
        <v>-</v>
      </c>
      <c r="Y62" s="10"/>
      <c r="Z62" s="19"/>
      <c r="AA62" s="13">
        <f>IF(G62="CPI",AE62*Z62,IFERROR(ROUNDDOWN(W62*Z62,0),"-"))</f>
        <v>0</v>
      </c>
      <c r="AB62" s="17" t="str">
        <f>IFERROR(P62/AA62,"-")</f>
        <v>-</v>
      </c>
      <c r="AC62" s="10"/>
      <c r="AD62" s="19"/>
      <c r="AE62" s="13">
        <f>IF(G62="CPI",I62,0)</f>
        <v>0</v>
      </c>
      <c r="AF62" s="17" t="str">
        <f>IFERROR(P62/AE62,"-")</f>
        <v>-</v>
      </c>
      <c r="AG62" s="10"/>
      <c r="AH62" s="18" t="str">
        <f>IFERROR(P62/AJ62,"-")</f>
        <v>-</v>
      </c>
      <c r="AI62" s="15"/>
      <c r="AJ62" s="17">
        <v>0</v>
      </c>
      <c r="AK62" s="10"/>
    </row>
    <row r="63" spans="1:37" ht="30.75" customHeight="1" x14ac:dyDescent="0.3">
      <c r="A63" s="10"/>
      <c r="B63" s="11" t="s">
        <v>0</v>
      </c>
      <c r="C63" s="12" t="s">
        <v>1</v>
      </c>
      <c r="D63" s="12" t="s">
        <v>33</v>
      </c>
      <c r="E63" s="10"/>
      <c r="F63" s="13" t="s">
        <v>79</v>
      </c>
      <c r="G63" s="14" t="s">
        <v>36</v>
      </c>
      <c r="H63" s="15"/>
      <c r="I63" s="36">
        <f>INT(S63*V63)</f>
        <v>0</v>
      </c>
      <c r="J63" s="10"/>
      <c r="K63" s="17">
        <f t="shared" si="35"/>
        <v>0</v>
      </c>
      <c r="L63" s="18"/>
      <c r="M63" s="17">
        <f t="shared" si="36"/>
        <v>0</v>
      </c>
      <c r="N63" s="19"/>
      <c r="O63" s="17">
        <f t="shared" si="37"/>
        <v>0</v>
      </c>
      <c r="P63" s="17">
        <f t="shared" si="38"/>
        <v>0</v>
      </c>
      <c r="Q63" s="18" t="str">
        <f t="shared" si="39"/>
        <v>-</v>
      </c>
      <c r="R63" s="10"/>
      <c r="S63" s="35"/>
      <c r="T63" s="18" t="str">
        <f>IFERROR(#REF!/#REF!,"-")</f>
        <v>-</v>
      </c>
      <c r="U63" s="10"/>
      <c r="V63" s="19"/>
      <c r="W63" s="13">
        <f>IFERROR(ROUNDDOWN(S63*V63,0),"-")</f>
        <v>0</v>
      </c>
      <c r="X63" s="17" t="str">
        <f>IFERROR(P63/W63,"-")</f>
        <v>-</v>
      </c>
      <c r="Y63" s="10"/>
      <c r="Z63" s="19"/>
      <c r="AA63" s="13">
        <f>IF(G63="CPI",AE63*Z63,IFERROR(ROUNDDOWN(W63*Z63,0),"-"))</f>
        <v>0</v>
      </c>
      <c r="AB63" s="17" t="str">
        <f>IFERROR(P63/AA63,"-")</f>
        <v>-</v>
      </c>
      <c r="AC63" s="10"/>
      <c r="AD63" s="19"/>
      <c r="AE63" s="13">
        <f>IF(G63="CPI",I63,0)</f>
        <v>0</v>
      </c>
      <c r="AF63" s="17" t="str">
        <f>IFERROR(P63/AE63,"-")</f>
        <v>-</v>
      </c>
      <c r="AG63" s="10"/>
      <c r="AH63" s="18" t="str">
        <f>IFERROR(P63/AJ63,"-")</f>
        <v>-</v>
      </c>
      <c r="AI63" s="15"/>
      <c r="AJ63" s="17">
        <v>0</v>
      </c>
      <c r="AK63" s="10"/>
    </row>
    <row r="64" spans="1:37" ht="17.25" customHeight="1" x14ac:dyDescent="0.3">
      <c r="A64" s="21"/>
      <c r="B64" s="6" t="s">
        <v>37</v>
      </c>
      <c r="C64" s="9" t="s">
        <v>38</v>
      </c>
      <c r="D64" s="9" t="s">
        <v>38</v>
      </c>
      <c r="E64" s="21"/>
      <c r="F64" s="9" t="s">
        <v>38</v>
      </c>
      <c r="G64" s="6" t="s">
        <v>38</v>
      </c>
      <c r="H64" s="6" t="s">
        <v>38</v>
      </c>
      <c r="I64" s="6" t="s">
        <v>38</v>
      </c>
      <c r="J64" s="21"/>
      <c r="K64" s="22">
        <v>0</v>
      </c>
      <c r="L64" s="6" t="s">
        <v>38</v>
      </c>
      <c r="M64" s="22">
        <v>0</v>
      </c>
      <c r="N64" s="9" t="s">
        <v>38</v>
      </c>
      <c r="O64" s="22">
        <f>IFERROR(SUM(O59:O63),"-")</f>
        <v>0</v>
      </c>
      <c r="P64" s="22">
        <f t="shared" si="38"/>
        <v>0</v>
      </c>
      <c r="Q64" s="23">
        <v>0</v>
      </c>
      <c r="R64" s="21"/>
      <c r="S64" s="24">
        <f>IFERROR(SUM(S59:S63),"-")</f>
        <v>0</v>
      </c>
      <c r="T64" s="6" t="s">
        <v>38</v>
      </c>
      <c r="U64" s="21"/>
      <c r="V64" s="23" t="str">
        <f>IFERROR(W64/S64,"-")</f>
        <v>-</v>
      </c>
      <c r="W64" s="24">
        <f>IFERROR(SUM(W59:W63),"-")</f>
        <v>0</v>
      </c>
      <c r="X64" s="22" t="str">
        <f>IFERROR(P64/W64,"-")</f>
        <v>-</v>
      </c>
      <c r="Y64" s="21"/>
      <c r="Z64" s="23" t="str">
        <f>IFERROR(AA64/W64,"-")</f>
        <v>-</v>
      </c>
      <c r="AA64" s="24">
        <v>0</v>
      </c>
      <c r="AB64" s="22" t="str">
        <f>IFERROR(P64/AA64,"-")</f>
        <v>-</v>
      </c>
      <c r="AC64" s="21"/>
      <c r="AD64" s="23" t="str">
        <f>IFERROR(AE64/W64,"-")</f>
        <v>-</v>
      </c>
      <c r="AE64" s="24">
        <v>0</v>
      </c>
      <c r="AF64" s="22" t="str">
        <f>IFERROR(L64/AE64,"-")</f>
        <v>-</v>
      </c>
      <c r="AG64" s="21"/>
      <c r="AH64" s="23" t="str">
        <f>IFERROR(P64/AJ64,"-")</f>
        <v>-</v>
      </c>
      <c r="AI64" s="22" t="str">
        <f>IFERROR(AJ64/#REF!,"-")</f>
        <v>-</v>
      </c>
      <c r="AJ64" s="22">
        <f>IFERROR(SUM(AJ59:AJ63),"-")</f>
        <v>0</v>
      </c>
      <c r="AK64" s="21"/>
    </row>
    <row r="65" spans="1:37" ht="15.75" customHeight="1" x14ac:dyDescent="0.3">
      <c r="A65" s="33"/>
      <c r="B65" s="34"/>
      <c r="C65" s="34"/>
      <c r="D65" s="34"/>
      <c r="E65" s="33"/>
      <c r="F65" s="34"/>
      <c r="G65" s="34"/>
      <c r="H65" s="34"/>
      <c r="I65" s="34"/>
      <c r="J65" s="33"/>
      <c r="K65" s="34"/>
      <c r="L65" s="34"/>
      <c r="M65" s="34"/>
      <c r="N65" s="34"/>
      <c r="O65" s="34"/>
      <c r="P65" s="34"/>
      <c r="Q65" s="34"/>
      <c r="R65" s="33"/>
      <c r="S65" s="34"/>
      <c r="T65" s="34"/>
      <c r="U65" s="33"/>
      <c r="V65" s="34"/>
      <c r="W65" s="34"/>
      <c r="X65" s="34"/>
      <c r="Y65" s="33"/>
      <c r="Z65" s="34"/>
      <c r="AA65" s="34"/>
      <c r="AB65" s="34"/>
      <c r="AC65" s="33"/>
      <c r="AD65" s="34"/>
      <c r="AE65" s="34"/>
      <c r="AF65" s="34"/>
      <c r="AG65" s="33"/>
      <c r="AH65" s="34"/>
      <c r="AI65" s="34"/>
      <c r="AJ65" s="34"/>
      <c r="AK65" s="33"/>
    </row>
    <row r="66" spans="1:37" ht="51.75" customHeight="1" x14ac:dyDescent="0.3">
      <c r="A66" s="1"/>
      <c r="B66" s="2" t="s">
        <v>0</v>
      </c>
      <c r="C66" s="2" t="s">
        <v>1</v>
      </c>
      <c r="D66" s="2" t="s">
        <v>2</v>
      </c>
      <c r="E66" s="1"/>
      <c r="F66" s="3" t="s">
        <v>3</v>
      </c>
      <c r="G66" s="2" t="s">
        <v>69</v>
      </c>
      <c r="H66" s="2" t="s">
        <v>70</v>
      </c>
      <c r="I66" s="2" t="s">
        <v>71</v>
      </c>
      <c r="J66" s="1"/>
      <c r="K66" s="4" t="s">
        <v>7</v>
      </c>
      <c r="L66" s="3" t="s">
        <v>8</v>
      </c>
      <c r="M66" s="4" t="s">
        <v>9</v>
      </c>
      <c r="N66" s="3" t="s">
        <v>10</v>
      </c>
      <c r="O66" s="5" t="s">
        <v>11</v>
      </c>
      <c r="P66" s="5" t="s">
        <v>12</v>
      </c>
      <c r="Q66" s="4" t="s">
        <v>13</v>
      </c>
      <c r="R66" s="1"/>
      <c r="S66" s="2" t="s">
        <v>14</v>
      </c>
      <c r="T66" s="2" t="s">
        <v>20</v>
      </c>
      <c r="U66" s="1"/>
      <c r="V66" s="6" t="s">
        <v>21</v>
      </c>
      <c r="W66" s="7" t="s">
        <v>22</v>
      </c>
      <c r="X66" s="7" t="s">
        <v>23</v>
      </c>
      <c r="Y66" s="1"/>
      <c r="Z66" s="6" t="s">
        <v>24</v>
      </c>
      <c r="AA66" s="8" t="s">
        <v>25</v>
      </c>
      <c r="AB66" s="8" t="s">
        <v>26</v>
      </c>
      <c r="AC66" s="1"/>
      <c r="AD66" s="9" t="s">
        <v>27</v>
      </c>
      <c r="AE66" s="8" t="s">
        <v>28</v>
      </c>
      <c r="AF66" s="8" t="s">
        <v>59</v>
      </c>
      <c r="AG66" s="1"/>
      <c r="AH66" s="9" t="s">
        <v>30</v>
      </c>
      <c r="AI66" s="8" t="s">
        <v>31</v>
      </c>
      <c r="AJ66" s="8" t="s">
        <v>32</v>
      </c>
      <c r="AK66" s="1"/>
    </row>
    <row r="67" spans="1:37" ht="30.75" customHeight="1" x14ac:dyDescent="0.3">
      <c r="A67" s="10"/>
      <c r="B67" s="11" t="s">
        <v>0</v>
      </c>
      <c r="C67" s="12" t="s">
        <v>1</v>
      </c>
      <c r="D67" s="12" t="s">
        <v>33</v>
      </c>
      <c r="E67" s="10"/>
      <c r="F67" s="13" t="s">
        <v>80</v>
      </c>
      <c r="G67" s="14" t="s">
        <v>36</v>
      </c>
      <c r="H67" s="15"/>
      <c r="I67" s="36">
        <f>INT(S67*V67)</f>
        <v>0</v>
      </c>
      <c r="J67" s="10"/>
      <c r="K67" s="17">
        <f t="shared" ref="K67:K71" si="40">IFERROR((H67*I67),"-")</f>
        <v>0</v>
      </c>
      <c r="L67" s="18"/>
      <c r="M67" s="17">
        <f t="shared" ref="M67:M71" si="41">IFERROR(K67*(1-L67),"-")</f>
        <v>0</v>
      </c>
      <c r="N67" s="19"/>
      <c r="O67" s="17">
        <f t="shared" ref="O67:O71" si="42">IFERROR(M67*(1+N67),"-")</f>
        <v>0</v>
      </c>
      <c r="P67" s="17">
        <f t="shared" ref="P67:P72" si="43">IFERROR(O67*1.2,"-")</f>
        <v>0</v>
      </c>
      <c r="Q67" s="18" t="str">
        <f t="shared" ref="Q67:Q71" si="44">IFERROR(P67/$P$8,"-")</f>
        <v>-</v>
      </c>
      <c r="R67" s="10"/>
      <c r="S67" s="35"/>
      <c r="T67" s="18" t="str">
        <f>IFERROR(#REF!/#REF!,"-")</f>
        <v>-</v>
      </c>
      <c r="U67" s="10"/>
      <c r="V67" s="19"/>
      <c r="W67" s="13">
        <f>IFERROR(ROUNDDOWN(S67*V67,0),"-")</f>
        <v>0</v>
      </c>
      <c r="X67" s="17" t="str">
        <f>IFERROR(P67/W67,"-")</f>
        <v>-</v>
      </c>
      <c r="Y67" s="10"/>
      <c r="Z67" s="19"/>
      <c r="AA67" s="13">
        <f>IF(G67="CPI",AE67*Z67,IFERROR(ROUNDDOWN(W67*Z67,0),"-"))</f>
        <v>0</v>
      </c>
      <c r="AB67" s="17" t="str">
        <f>IFERROR(P67/AA67,"-")</f>
        <v>-</v>
      </c>
      <c r="AC67" s="10"/>
      <c r="AD67" s="19"/>
      <c r="AE67" s="13">
        <f>IF(G67="CPI",I67,0)</f>
        <v>0</v>
      </c>
      <c r="AF67" s="17" t="str">
        <f>IFERROR(P67/AE67,"-")</f>
        <v>-</v>
      </c>
      <c r="AG67" s="10"/>
      <c r="AH67" s="18" t="str">
        <f>IFERROR(P67/AJ67,"-")</f>
        <v>-</v>
      </c>
      <c r="AI67" s="15"/>
      <c r="AJ67" s="17">
        <v>0</v>
      </c>
      <c r="AK67" s="10"/>
    </row>
    <row r="68" spans="1:37" ht="30.75" customHeight="1" x14ac:dyDescent="0.3">
      <c r="A68" s="10"/>
      <c r="B68" s="11" t="s">
        <v>0</v>
      </c>
      <c r="C68" s="12" t="s">
        <v>1</v>
      </c>
      <c r="D68" s="12" t="s">
        <v>33</v>
      </c>
      <c r="E68" s="10"/>
      <c r="F68" s="13" t="s">
        <v>80</v>
      </c>
      <c r="G68" s="14" t="s">
        <v>36</v>
      </c>
      <c r="H68" s="15"/>
      <c r="I68" s="36">
        <f>INT(S68*V68)</f>
        <v>0</v>
      </c>
      <c r="J68" s="10"/>
      <c r="K68" s="17">
        <f t="shared" si="40"/>
        <v>0</v>
      </c>
      <c r="L68" s="18"/>
      <c r="M68" s="17">
        <f t="shared" si="41"/>
        <v>0</v>
      </c>
      <c r="N68" s="19"/>
      <c r="O68" s="17">
        <f t="shared" si="42"/>
        <v>0</v>
      </c>
      <c r="P68" s="17">
        <f t="shared" si="43"/>
        <v>0</v>
      </c>
      <c r="Q68" s="18" t="str">
        <f t="shared" si="44"/>
        <v>-</v>
      </c>
      <c r="R68" s="10"/>
      <c r="S68" s="35"/>
      <c r="T68" s="18" t="str">
        <f>IFERROR(#REF!/#REF!,"-")</f>
        <v>-</v>
      </c>
      <c r="U68" s="10"/>
      <c r="V68" s="19"/>
      <c r="W68" s="13">
        <f>IFERROR(ROUNDDOWN(S68*V68,0),"-")</f>
        <v>0</v>
      </c>
      <c r="X68" s="17" t="str">
        <f>IFERROR(P68/W68,"-")</f>
        <v>-</v>
      </c>
      <c r="Y68" s="10"/>
      <c r="Z68" s="19"/>
      <c r="AA68" s="13">
        <f>IF(G68="CPI",AE68*Z68,IFERROR(ROUNDDOWN(W68*Z68,0),"-"))</f>
        <v>0</v>
      </c>
      <c r="AB68" s="17" t="str">
        <f>IFERROR(P68/AA68,"-")</f>
        <v>-</v>
      </c>
      <c r="AC68" s="10"/>
      <c r="AD68" s="19"/>
      <c r="AE68" s="13">
        <f>IF(G68="CPI",I68,0)</f>
        <v>0</v>
      </c>
      <c r="AF68" s="17" t="str">
        <f>IFERROR(P68/AE68,"-")</f>
        <v>-</v>
      </c>
      <c r="AG68" s="10"/>
      <c r="AH68" s="18" t="str">
        <f>IFERROR(P68/AJ68,"-")</f>
        <v>-</v>
      </c>
      <c r="AI68" s="15"/>
      <c r="AJ68" s="17">
        <v>0</v>
      </c>
      <c r="AK68" s="10"/>
    </row>
    <row r="69" spans="1:37" ht="30.75" customHeight="1" x14ac:dyDescent="0.3">
      <c r="A69" s="10"/>
      <c r="B69" s="11" t="s">
        <v>0</v>
      </c>
      <c r="C69" s="12" t="s">
        <v>1</v>
      </c>
      <c r="D69" s="12" t="s">
        <v>33</v>
      </c>
      <c r="E69" s="10"/>
      <c r="F69" s="13" t="s">
        <v>80</v>
      </c>
      <c r="G69" s="14" t="s">
        <v>36</v>
      </c>
      <c r="H69" s="15"/>
      <c r="I69" s="36">
        <f>INT(S69*V69)</f>
        <v>0</v>
      </c>
      <c r="J69" s="10"/>
      <c r="K69" s="17">
        <f t="shared" si="40"/>
        <v>0</v>
      </c>
      <c r="L69" s="18"/>
      <c r="M69" s="17">
        <f t="shared" si="41"/>
        <v>0</v>
      </c>
      <c r="N69" s="19"/>
      <c r="O69" s="17">
        <f t="shared" si="42"/>
        <v>0</v>
      </c>
      <c r="P69" s="17">
        <f t="shared" si="43"/>
        <v>0</v>
      </c>
      <c r="Q69" s="18" t="str">
        <f t="shared" si="44"/>
        <v>-</v>
      </c>
      <c r="R69" s="10"/>
      <c r="S69" s="35"/>
      <c r="T69" s="18" t="str">
        <f>IFERROR(#REF!/#REF!,"-")</f>
        <v>-</v>
      </c>
      <c r="U69" s="10"/>
      <c r="V69" s="19"/>
      <c r="W69" s="13">
        <f>IFERROR(ROUNDDOWN(S69*V69,0),"-")</f>
        <v>0</v>
      </c>
      <c r="X69" s="17" t="str">
        <f>IFERROR(P69/W69,"-")</f>
        <v>-</v>
      </c>
      <c r="Y69" s="10"/>
      <c r="Z69" s="19"/>
      <c r="AA69" s="13">
        <f>IF(G69="CPI",AE69*Z69,IFERROR(ROUNDDOWN(W69*Z69,0),"-"))</f>
        <v>0</v>
      </c>
      <c r="AB69" s="17" t="str">
        <f>IFERROR(P69/AA69,"-")</f>
        <v>-</v>
      </c>
      <c r="AC69" s="10"/>
      <c r="AD69" s="19"/>
      <c r="AE69" s="13">
        <f>IF(G69="CPI",I69,0)</f>
        <v>0</v>
      </c>
      <c r="AF69" s="17" t="str">
        <f>IFERROR(P69/AE69,"-")</f>
        <v>-</v>
      </c>
      <c r="AG69" s="10"/>
      <c r="AH69" s="18" t="str">
        <f>IFERROR(P69/AJ69,"-")</f>
        <v>-</v>
      </c>
      <c r="AI69" s="15"/>
      <c r="AJ69" s="17">
        <v>0</v>
      </c>
      <c r="AK69" s="10"/>
    </row>
    <row r="70" spans="1:37" ht="30.75" customHeight="1" x14ac:dyDescent="0.3">
      <c r="A70" s="10"/>
      <c r="B70" s="11" t="s">
        <v>0</v>
      </c>
      <c r="C70" s="12" t="s">
        <v>1</v>
      </c>
      <c r="D70" s="12" t="s">
        <v>33</v>
      </c>
      <c r="E70" s="10"/>
      <c r="F70" s="13" t="s">
        <v>80</v>
      </c>
      <c r="G70" s="14" t="s">
        <v>36</v>
      </c>
      <c r="H70" s="15"/>
      <c r="I70" s="36">
        <f>INT(S70*V70)</f>
        <v>0</v>
      </c>
      <c r="J70" s="10"/>
      <c r="K70" s="17">
        <f t="shared" si="40"/>
        <v>0</v>
      </c>
      <c r="L70" s="18"/>
      <c r="M70" s="17">
        <f t="shared" si="41"/>
        <v>0</v>
      </c>
      <c r="N70" s="19"/>
      <c r="O70" s="17">
        <f t="shared" si="42"/>
        <v>0</v>
      </c>
      <c r="P70" s="17">
        <f t="shared" si="43"/>
        <v>0</v>
      </c>
      <c r="Q70" s="18" t="str">
        <f t="shared" si="44"/>
        <v>-</v>
      </c>
      <c r="R70" s="10"/>
      <c r="S70" s="35"/>
      <c r="T70" s="18" t="str">
        <f>IFERROR(#REF!/#REF!,"-")</f>
        <v>-</v>
      </c>
      <c r="U70" s="10"/>
      <c r="V70" s="19"/>
      <c r="W70" s="13">
        <f>IFERROR(ROUNDDOWN(S70*V70,0),"-")</f>
        <v>0</v>
      </c>
      <c r="X70" s="17" t="str">
        <f>IFERROR(P70/W70,"-")</f>
        <v>-</v>
      </c>
      <c r="Y70" s="10"/>
      <c r="Z70" s="19"/>
      <c r="AA70" s="13">
        <f>IF(G70="CPI",AE70*Z70,IFERROR(ROUNDDOWN(W70*Z70,0),"-"))</f>
        <v>0</v>
      </c>
      <c r="AB70" s="17" t="str">
        <f>IFERROR(P70/AA70,"-")</f>
        <v>-</v>
      </c>
      <c r="AC70" s="10"/>
      <c r="AD70" s="19"/>
      <c r="AE70" s="13">
        <f>IF(G70="CPI",I70,0)</f>
        <v>0</v>
      </c>
      <c r="AF70" s="17" t="str">
        <f>IFERROR(P70/AE70,"-")</f>
        <v>-</v>
      </c>
      <c r="AG70" s="10"/>
      <c r="AH70" s="18" t="str">
        <f>IFERROR(P70/AJ70,"-")</f>
        <v>-</v>
      </c>
      <c r="AI70" s="15"/>
      <c r="AJ70" s="17">
        <v>0</v>
      </c>
      <c r="AK70" s="10"/>
    </row>
    <row r="71" spans="1:37" ht="30.75" customHeight="1" x14ac:dyDescent="0.3">
      <c r="A71" s="10"/>
      <c r="B71" s="11" t="s">
        <v>0</v>
      </c>
      <c r="C71" s="12" t="s">
        <v>1</v>
      </c>
      <c r="D71" s="12" t="s">
        <v>33</v>
      </c>
      <c r="E71" s="10"/>
      <c r="F71" s="13" t="s">
        <v>80</v>
      </c>
      <c r="G71" s="14" t="s">
        <v>36</v>
      </c>
      <c r="H71" s="15"/>
      <c r="I71" s="36">
        <f>INT(S71*V71)</f>
        <v>0</v>
      </c>
      <c r="J71" s="10"/>
      <c r="K71" s="17">
        <f t="shared" si="40"/>
        <v>0</v>
      </c>
      <c r="L71" s="18"/>
      <c r="M71" s="17">
        <f t="shared" si="41"/>
        <v>0</v>
      </c>
      <c r="N71" s="19"/>
      <c r="O71" s="17">
        <f t="shared" si="42"/>
        <v>0</v>
      </c>
      <c r="P71" s="17">
        <f t="shared" si="43"/>
        <v>0</v>
      </c>
      <c r="Q71" s="18" t="str">
        <f t="shared" si="44"/>
        <v>-</v>
      </c>
      <c r="R71" s="10"/>
      <c r="S71" s="35"/>
      <c r="T71" s="18" t="str">
        <f>IFERROR(#REF!/#REF!,"-")</f>
        <v>-</v>
      </c>
      <c r="U71" s="10"/>
      <c r="V71" s="19"/>
      <c r="W71" s="13">
        <f>IFERROR(ROUNDDOWN(S71*V71,0),"-")</f>
        <v>0</v>
      </c>
      <c r="X71" s="17" t="str">
        <f>IFERROR(P71/W71,"-")</f>
        <v>-</v>
      </c>
      <c r="Y71" s="10"/>
      <c r="Z71" s="19"/>
      <c r="AA71" s="13">
        <f>IF(G71="CPI",AE71*Z71,IFERROR(ROUNDDOWN(W71*Z71,0),"-"))</f>
        <v>0</v>
      </c>
      <c r="AB71" s="17" t="str">
        <f>IFERROR(P71/AA71,"-")</f>
        <v>-</v>
      </c>
      <c r="AC71" s="10"/>
      <c r="AD71" s="19"/>
      <c r="AE71" s="13">
        <f>IF(G71="CPI",I71,0)</f>
        <v>0</v>
      </c>
      <c r="AF71" s="17" t="str">
        <f>IFERROR(P71/AE71,"-")</f>
        <v>-</v>
      </c>
      <c r="AG71" s="10"/>
      <c r="AH71" s="18" t="str">
        <f>IFERROR(P71/AJ71,"-")</f>
        <v>-</v>
      </c>
      <c r="AI71" s="15"/>
      <c r="AJ71" s="17">
        <v>0</v>
      </c>
      <c r="AK71" s="10"/>
    </row>
    <row r="72" spans="1:37" ht="17.25" customHeight="1" x14ac:dyDescent="0.3">
      <c r="A72" s="21"/>
      <c r="B72" s="6" t="s">
        <v>37</v>
      </c>
      <c r="C72" s="9" t="s">
        <v>38</v>
      </c>
      <c r="D72" s="9" t="s">
        <v>38</v>
      </c>
      <c r="E72" s="21"/>
      <c r="F72" s="9" t="s">
        <v>38</v>
      </c>
      <c r="G72" s="6" t="s">
        <v>38</v>
      </c>
      <c r="H72" s="6" t="s">
        <v>38</v>
      </c>
      <c r="I72" s="6" t="s">
        <v>38</v>
      </c>
      <c r="J72" s="21"/>
      <c r="K72" s="22">
        <v>0</v>
      </c>
      <c r="L72" s="6" t="s">
        <v>38</v>
      </c>
      <c r="M72" s="22">
        <v>0</v>
      </c>
      <c r="N72" s="9" t="s">
        <v>38</v>
      </c>
      <c r="O72" s="22">
        <f>IFERROR(SUM(O67:O71),"-")</f>
        <v>0</v>
      </c>
      <c r="P72" s="22">
        <f t="shared" si="43"/>
        <v>0</v>
      </c>
      <c r="Q72" s="23">
        <v>0</v>
      </c>
      <c r="R72" s="21"/>
      <c r="S72" s="24">
        <f>IFERROR(SUM(S67:S71),"-")</f>
        <v>0</v>
      </c>
      <c r="T72" s="6" t="s">
        <v>38</v>
      </c>
      <c r="U72" s="21"/>
      <c r="V72" s="23" t="str">
        <f>IFERROR(W72/S72,"-")</f>
        <v>-</v>
      </c>
      <c r="W72" s="24">
        <f>IFERROR(SUM(W67:W71),"-")</f>
        <v>0</v>
      </c>
      <c r="X72" s="22" t="str">
        <f>IFERROR(P72/W72,"-")</f>
        <v>-</v>
      </c>
      <c r="Y72" s="21"/>
      <c r="Z72" s="23" t="str">
        <f>IFERROR(AA72/W72,"-")</f>
        <v>-</v>
      </c>
      <c r="AA72" s="24">
        <v>0</v>
      </c>
      <c r="AB72" s="22" t="str">
        <f>IFERROR(P72/AA72,"-")</f>
        <v>-</v>
      </c>
      <c r="AC72" s="21"/>
      <c r="AD72" s="23" t="str">
        <f>IFERROR(AE72/W72,"-")</f>
        <v>-</v>
      </c>
      <c r="AE72" s="24">
        <v>0</v>
      </c>
      <c r="AF72" s="22" t="str">
        <f>IFERROR(L72/AE72,"-")</f>
        <v>-</v>
      </c>
      <c r="AG72" s="21"/>
      <c r="AH72" s="23" t="str">
        <f>IFERROR(P72/AJ72,"-")</f>
        <v>-</v>
      </c>
      <c r="AI72" s="22" t="str">
        <f>IFERROR(AJ72/#REF!,"-")</f>
        <v>-</v>
      </c>
      <c r="AJ72" s="22">
        <f>IFERROR(SUM(AJ67:AJ71),"-")</f>
        <v>0</v>
      </c>
      <c r="AK72" s="21"/>
    </row>
    <row r="73" spans="1:37" ht="15.75" customHeight="1" x14ac:dyDescent="0.3">
      <c r="A73" s="33"/>
      <c r="B73" s="34"/>
      <c r="C73" s="34"/>
      <c r="D73" s="34"/>
      <c r="E73" s="33"/>
      <c r="F73" s="34"/>
      <c r="G73" s="34"/>
      <c r="H73" s="34"/>
      <c r="I73" s="34"/>
      <c r="J73" s="33"/>
      <c r="K73" s="34"/>
      <c r="L73" s="34"/>
      <c r="M73" s="34"/>
      <c r="N73" s="34"/>
      <c r="O73" s="34"/>
      <c r="P73" s="34"/>
      <c r="Q73" s="34"/>
      <c r="R73" s="33"/>
      <c r="S73" s="34"/>
      <c r="T73" s="34"/>
      <c r="U73" s="33"/>
      <c r="V73" s="34"/>
      <c r="W73" s="34"/>
      <c r="X73" s="34"/>
      <c r="Y73" s="33"/>
      <c r="Z73" s="34"/>
      <c r="AA73" s="34"/>
      <c r="AB73" s="34"/>
      <c r="AC73" s="33"/>
      <c r="AD73" s="34"/>
      <c r="AE73" s="34"/>
      <c r="AF73" s="34"/>
      <c r="AG73" s="33"/>
      <c r="AH73" s="34"/>
      <c r="AI73" s="34"/>
      <c r="AJ73" s="34"/>
      <c r="AK73" s="33"/>
    </row>
    <row r="74" spans="1:37" ht="51.75" customHeight="1" x14ac:dyDescent="0.3">
      <c r="A74" s="1"/>
      <c r="B74" s="2" t="s">
        <v>0</v>
      </c>
      <c r="C74" s="2" t="s">
        <v>1</v>
      </c>
      <c r="D74" s="2" t="s">
        <v>2</v>
      </c>
      <c r="E74" s="1"/>
      <c r="F74" s="3" t="s">
        <v>3</v>
      </c>
      <c r="G74" s="2" t="s">
        <v>69</v>
      </c>
      <c r="H74" s="2" t="s">
        <v>70</v>
      </c>
      <c r="I74" s="2" t="s">
        <v>71</v>
      </c>
      <c r="J74" s="1"/>
      <c r="K74" s="4" t="s">
        <v>7</v>
      </c>
      <c r="L74" s="3" t="s">
        <v>8</v>
      </c>
      <c r="M74" s="4" t="s">
        <v>9</v>
      </c>
      <c r="N74" s="3" t="s">
        <v>10</v>
      </c>
      <c r="O74" s="5" t="s">
        <v>11</v>
      </c>
      <c r="P74" s="5" t="s">
        <v>12</v>
      </c>
      <c r="Q74" s="4" t="s">
        <v>13</v>
      </c>
      <c r="R74" s="1"/>
      <c r="S74" s="2" t="s">
        <v>14</v>
      </c>
      <c r="T74" s="2" t="s">
        <v>20</v>
      </c>
      <c r="U74" s="1"/>
      <c r="V74" s="6" t="s">
        <v>21</v>
      </c>
      <c r="W74" s="7" t="s">
        <v>22</v>
      </c>
      <c r="X74" s="7" t="s">
        <v>23</v>
      </c>
      <c r="Y74" s="1"/>
      <c r="Z74" s="6" t="s">
        <v>24</v>
      </c>
      <c r="AA74" s="8" t="s">
        <v>25</v>
      </c>
      <c r="AB74" s="8" t="s">
        <v>26</v>
      </c>
      <c r="AC74" s="1"/>
      <c r="AD74" s="9" t="s">
        <v>27</v>
      </c>
      <c r="AE74" s="8" t="s">
        <v>28</v>
      </c>
      <c r="AF74" s="8" t="s">
        <v>59</v>
      </c>
      <c r="AG74" s="1"/>
      <c r="AH74" s="9" t="s">
        <v>30</v>
      </c>
      <c r="AI74" s="8" t="s">
        <v>31</v>
      </c>
      <c r="AJ74" s="8" t="s">
        <v>32</v>
      </c>
      <c r="AK74" s="1"/>
    </row>
    <row r="75" spans="1:37" ht="30.75" customHeight="1" x14ac:dyDescent="0.3">
      <c r="A75" s="10"/>
      <c r="B75" s="11" t="s">
        <v>0</v>
      </c>
      <c r="C75" s="12" t="s">
        <v>1</v>
      </c>
      <c r="D75" s="12" t="s">
        <v>33</v>
      </c>
      <c r="E75" s="10"/>
      <c r="F75" s="13" t="s">
        <v>81</v>
      </c>
      <c r="G75" s="14" t="s">
        <v>36</v>
      </c>
      <c r="H75" s="15"/>
      <c r="I75" s="36">
        <f>INT(S75*V75)</f>
        <v>0</v>
      </c>
      <c r="J75" s="10"/>
      <c r="K75" s="17">
        <f t="shared" ref="K75:K79" si="45">IFERROR((H75*I75),"-")</f>
        <v>0</v>
      </c>
      <c r="L75" s="18"/>
      <c r="M75" s="17">
        <f t="shared" ref="M75:M79" si="46">IFERROR(K75*(1-L75),"-")</f>
        <v>0</v>
      </c>
      <c r="N75" s="19"/>
      <c r="O75" s="17">
        <f t="shared" ref="O75:O79" si="47">IFERROR(M75*(1+N75),"-")</f>
        <v>0</v>
      </c>
      <c r="P75" s="17">
        <f t="shared" ref="P75:P80" si="48">IFERROR(O75*1.2,"-")</f>
        <v>0</v>
      </c>
      <c r="Q75" s="18" t="str">
        <f t="shared" ref="Q75:Q79" si="49">IFERROR(P75/$P$8,"-")</f>
        <v>-</v>
      </c>
      <c r="R75" s="10"/>
      <c r="S75" s="35"/>
      <c r="T75" s="18" t="str">
        <f>IFERROR(#REF!/#REF!,"-")</f>
        <v>-</v>
      </c>
      <c r="U75" s="10"/>
      <c r="V75" s="19"/>
      <c r="W75" s="13">
        <f>IFERROR(ROUNDDOWN(S75*V75,0),"-")</f>
        <v>0</v>
      </c>
      <c r="X75" s="17" t="str">
        <f>IFERROR(P75/W75,"-")</f>
        <v>-</v>
      </c>
      <c r="Y75" s="10"/>
      <c r="Z75" s="19"/>
      <c r="AA75" s="13">
        <f>IF(G75="CPI",AE75*Z75,IFERROR(ROUNDDOWN(W75*Z75,0),"-"))</f>
        <v>0</v>
      </c>
      <c r="AB75" s="17" t="str">
        <f>IFERROR(P75/AA75,"-")</f>
        <v>-</v>
      </c>
      <c r="AC75" s="10"/>
      <c r="AD75" s="19"/>
      <c r="AE75" s="13">
        <f>IF(G75="CPI",I75,0)</f>
        <v>0</v>
      </c>
      <c r="AF75" s="17" t="str">
        <f>IFERROR(P75/AE75,"-")</f>
        <v>-</v>
      </c>
      <c r="AG75" s="10"/>
      <c r="AH75" s="18" t="str">
        <f>IFERROR(P75/AJ75,"-")</f>
        <v>-</v>
      </c>
      <c r="AI75" s="15"/>
      <c r="AJ75" s="17">
        <v>0</v>
      </c>
      <c r="AK75" s="10"/>
    </row>
    <row r="76" spans="1:37" ht="30.75" customHeight="1" x14ac:dyDescent="0.3">
      <c r="A76" s="10"/>
      <c r="B76" s="11" t="s">
        <v>0</v>
      </c>
      <c r="C76" s="12" t="s">
        <v>1</v>
      </c>
      <c r="D76" s="12" t="s">
        <v>33</v>
      </c>
      <c r="E76" s="10"/>
      <c r="F76" s="13" t="s">
        <v>81</v>
      </c>
      <c r="G76" s="14" t="s">
        <v>36</v>
      </c>
      <c r="H76" s="15"/>
      <c r="I76" s="36">
        <f>INT(S76*V76)</f>
        <v>0</v>
      </c>
      <c r="J76" s="10"/>
      <c r="K76" s="17">
        <f t="shared" si="45"/>
        <v>0</v>
      </c>
      <c r="L76" s="18"/>
      <c r="M76" s="17">
        <f t="shared" si="46"/>
        <v>0</v>
      </c>
      <c r="N76" s="19"/>
      <c r="O76" s="17">
        <f t="shared" si="47"/>
        <v>0</v>
      </c>
      <c r="P76" s="17">
        <f t="shared" si="48"/>
        <v>0</v>
      </c>
      <c r="Q76" s="18" t="str">
        <f t="shared" si="49"/>
        <v>-</v>
      </c>
      <c r="R76" s="10"/>
      <c r="S76" s="35"/>
      <c r="T76" s="18" t="str">
        <f>IFERROR(#REF!/#REF!,"-")</f>
        <v>-</v>
      </c>
      <c r="U76" s="10"/>
      <c r="V76" s="19"/>
      <c r="W76" s="13">
        <f>IFERROR(ROUNDDOWN(S76*V76,0),"-")</f>
        <v>0</v>
      </c>
      <c r="X76" s="17" t="str">
        <f>IFERROR(P76/W76,"-")</f>
        <v>-</v>
      </c>
      <c r="Y76" s="10"/>
      <c r="Z76" s="19"/>
      <c r="AA76" s="13">
        <f>IF(G76="CPI",AE76*Z76,IFERROR(ROUNDDOWN(W76*Z76,0),"-"))</f>
        <v>0</v>
      </c>
      <c r="AB76" s="17" t="str">
        <f>IFERROR(P76/AA76,"-")</f>
        <v>-</v>
      </c>
      <c r="AC76" s="10"/>
      <c r="AD76" s="19"/>
      <c r="AE76" s="13">
        <f>IF(G76="CPI",I76,0)</f>
        <v>0</v>
      </c>
      <c r="AF76" s="17" t="str">
        <f>IFERROR(P76/AE76,"-")</f>
        <v>-</v>
      </c>
      <c r="AG76" s="10"/>
      <c r="AH76" s="18" t="str">
        <f>IFERROR(P76/AJ76,"-")</f>
        <v>-</v>
      </c>
      <c r="AI76" s="15"/>
      <c r="AJ76" s="17">
        <v>0</v>
      </c>
      <c r="AK76" s="10"/>
    </row>
    <row r="77" spans="1:37" ht="30.75" customHeight="1" x14ac:dyDescent="0.3">
      <c r="A77" s="10"/>
      <c r="B77" s="11" t="s">
        <v>0</v>
      </c>
      <c r="C77" s="12" t="s">
        <v>1</v>
      </c>
      <c r="D77" s="12" t="s">
        <v>33</v>
      </c>
      <c r="E77" s="10"/>
      <c r="F77" s="13" t="s">
        <v>81</v>
      </c>
      <c r="G77" s="14" t="s">
        <v>36</v>
      </c>
      <c r="H77" s="15"/>
      <c r="I77" s="36">
        <f>INT(S77*V77)</f>
        <v>0</v>
      </c>
      <c r="J77" s="10"/>
      <c r="K77" s="17">
        <f t="shared" si="45"/>
        <v>0</v>
      </c>
      <c r="L77" s="18"/>
      <c r="M77" s="17">
        <f t="shared" si="46"/>
        <v>0</v>
      </c>
      <c r="N77" s="19"/>
      <c r="O77" s="17">
        <f t="shared" si="47"/>
        <v>0</v>
      </c>
      <c r="P77" s="17">
        <f t="shared" si="48"/>
        <v>0</v>
      </c>
      <c r="Q77" s="18" t="str">
        <f t="shared" si="49"/>
        <v>-</v>
      </c>
      <c r="R77" s="10"/>
      <c r="S77" s="35"/>
      <c r="T77" s="18" t="str">
        <f>IFERROR(#REF!/#REF!,"-")</f>
        <v>-</v>
      </c>
      <c r="U77" s="10"/>
      <c r="V77" s="19"/>
      <c r="W77" s="13">
        <f>IFERROR(ROUNDDOWN(S77*V77,0),"-")</f>
        <v>0</v>
      </c>
      <c r="X77" s="17" t="str">
        <f>IFERROR(P77/W77,"-")</f>
        <v>-</v>
      </c>
      <c r="Y77" s="10"/>
      <c r="Z77" s="19"/>
      <c r="AA77" s="13">
        <f>IF(G77="CPI",AE77*Z77,IFERROR(ROUNDDOWN(W77*Z77,0),"-"))</f>
        <v>0</v>
      </c>
      <c r="AB77" s="17" t="str">
        <f>IFERROR(P77/AA77,"-")</f>
        <v>-</v>
      </c>
      <c r="AC77" s="10"/>
      <c r="AD77" s="19"/>
      <c r="AE77" s="13">
        <f>IF(G77="CPI",I77,0)</f>
        <v>0</v>
      </c>
      <c r="AF77" s="17" t="str">
        <f>IFERROR(P77/AE77,"-")</f>
        <v>-</v>
      </c>
      <c r="AG77" s="10"/>
      <c r="AH77" s="18" t="str">
        <f>IFERROR(P77/AJ77,"-")</f>
        <v>-</v>
      </c>
      <c r="AI77" s="15"/>
      <c r="AJ77" s="17">
        <v>0</v>
      </c>
      <c r="AK77" s="10"/>
    </row>
    <row r="78" spans="1:37" ht="30.75" customHeight="1" x14ac:dyDescent="0.3">
      <c r="A78" s="10"/>
      <c r="B78" s="11" t="s">
        <v>0</v>
      </c>
      <c r="C78" s="12" t="s">
        <v>1</v>
      </c>
      <c r="D78" s="12" t="s">
        <v>33</v>
      </c>
      <c r="E78" s="10"/>
      <c r="F78" s="13" t="s">
        <v>81</v>
      </c>
      <c r="G78" s="14" t="s">
        <v>36</v>
      </c>
      <c r="H78" s="15"/>
      <c r="I78" s="36">
        <f>INT(S78*V78)</f>
        <v>0</v>
      </c>
      <c r="J78" s="10"/>
      <c r="K78" s="17">
        <f t="shared" si="45"/>
        <v>0</v>
      </c>
      <c r="L78" s="18"/>
      <c r="M78" s="17">
        <f t="shared" si="46"/>
        <v>0</v>
      </c>
      <c r="N78" s="19"/>
      <c r="O78" s="17">
        <f t="shared" si="47"/>
        <v>0</v>
      </c>
      <c r="P78" s="17">
        <f t="shared" si="48"/>
        <v>0</v>
      </c>
      <c r="Q78" s="18" t="str">
        <f t="shared" si="49"/>
        <v>-</v>
      </c>
      <c r="R78" s="10"/>
      <c r="S78" s="35"/>
      <c r="T78" s="18" t="str">
        <f>IFERROR(#REF!/#REF!,"-")</f>
        <v>-</v>
      </c>
      <c r="U78" s="10"/>
      <c r="V78" s="19"/>
      <c r="W78" s="13">
        <f>IFERROR(ROUNDDOWN(S78*V78,0),"-")</f>
        <v>0</v>
      </c>
      <c r="X78" s="17" t="str">
        <f>IFERROR(P78/W78,"-")</f>
        <v>-</v>
      </c>
      <c r="Y78" s="10"/>
      <c r="Z78" s="19"/>
      <c r="AA78" s="13">
        <f>IF(G78="CPI",AE78*Z78,IFERROR(ROUNDDOWN(W78*Z78,0),"-"))</f>
        <v>0</v>
      </c>
      <c r="AB78" s="17" t="str">
        <f>IFERROR(P78/AA78,"-")</f>
        <v>-</v>
      </c>
      <c r="AC78" s="10"/>
      <c r="AD78" s="19"/>
      <c r="AE78" s="13">
        <f>IF(G78="CPI",I78,0)</f>
        <v>0</v>
      </c>
      <c r="AF78" s="17" t="str">
        <f>IFERROR(P78/AE78,"-")</f>
        <v>-</v>
      </c>
      <c r="AG78" s="10"/>
      <c r="AH78" s="18" t="str">
        <f>IFERROR(P78/AJ78,"-")</f>
        <v>-</v>
      </c>
      <c r="AI78" s="15"/>
      <c r="AJ78" s="17">
        <v>0</v>
      </c>
      <c r="AK78" s="10"/>
    </row>
    <row r="79" spans="1:37" ht="30.75" customHeight="1" x14ac:dyDescent="0.3">
      <c r="A79" s="10"/>
      <c r="B79" s="11" t="s">
        <v>0</v>
      </c>
      <c r="C79" s="12" t="s">
        <v>1</v>
      </c>
      <c r="D79" s="12" t="s">
        <v>33</v>
      </c>
      <c r="E79" s="10"/>
      <c r="F79" s="13" t="s">
        <v>81</v>
      </c>
      <c r="G79" s="14" t="s">
        <v>36</v>
      </c>
      <c r="H79" s="15"/>
      <c r="I79" s="36">
        <f>INT(S79*V79)</f>
        <v>0</v>
      </c>
      <c r="J79" s="10"/>
      <c r="K79" s="17">
        <f t="shared" si="45"/>
        <v>0</v>
      </c>
      <c r="L79" s="18"/>
      <c r="M79" s="17">
        <f t="shared" si="46"/>
        <v>0</v>
      </c>
      <c r="N79" s="19"/>
      <c r="O79" s="17">
        <f t="shared" si="47"/>
        <v>0</v>
      </c>
      <c r="P79" s="17">
        <f t="shared" si="48"/>
        <v>0</v>
      </c>
      <c r="Q79" s="18" t="str">
        <f t="shared" si="49"/>
        <v>-</v>
      </c>
      <c r="R79" s="10"/>
      <c r="S79" s="35"/>
      <c r="T79" s="18" t="str">
        <f>IFERROR(#REF!/#REF!,"-")</f>
        <v>-</v>
      </c>
      <c r="U79" s="10"/>
      <c r="V79" s="19"/>
      <c r="W79" s="13">
        <f>IFERROR(ROUNDDOWN(S79*V79,0),"-")</f>
        <v>0</v>
      </c>
      <c r="X79" s="17" t="str">
        <f>IFERROR(P79/W79,"-")</f>
        <v>-</v>
      </c>
      <c r="Y79" s="10"/>
      <c r="Z79" s="19"/>
      <c r="AA79" s="13">
        <f>IF(G79="CPI",AE79*Z79,IFERROR(ROUNDDOWN(W79*Z79,0),"-"))</f>
        <v>0</v>
      </c>
      <c r="AB79" s="17" t="str">
        <f>IFERROR(P79/AA79,"-")</f>
        <v>-</v>
      </c>
      <c r="AC79" s="10"/>
      <c r="AD79" s="19"/>
      <c r="AE79" s="13">
        <f>IF(G79="CPI",I79,0)</f>
        <v>0</v>
      </c>
      <c r="AF79" s="17" t="str">
        <f>IFERROR(P79/AE79,"-")</f>
        <v>-</v>
      </c>
      <c r="AG79" s="10"/>
      <c r="AH79" s="18" t="str">
        <f>IFERROR(P79/AJ79,"-")</f>
        <v>-</v>
      </c>
      <c r="AI79" s="15"/>
      <c r="AJ79" s="17">
        <v>0</v>
      </c>
      <c r="AK79" s="10"/>
    </row>
    <row r="80" spans="1:37" ht="17.25" customHeight="1" x14ac:dyDescent="0.3">
      <c r="A80" s="21"/>
      <c r="B80" s="6" t="s">
        <v>37</v>
      </c>
      <c r="C80" s="9" t="s">
        <v>38</v>
      </c>
      <c r="D80" s="9" t="s">
        <v>38</v>
      </c>
      <c r="E80" s="21"/>
      <c r="F80" s="9" t="s">
        <v>38</v>
      </c>
      <c r="G80" s="6" t="s">
        <v>38</v>
      </c>
      <c r="H80" s="6" t="s">
        <v>38</v>
      </c>
      <c r="I80" s="6" t="s">
        <v>38</v>
      </c>
      <c r="J80" s="21"/>
      <c r="K80" s="22">
        <v>0</v>
      </c>
      <c r="L80" s="6" t="s">
        <v>38</v>
      </c>
      <c r="M80" s="22">
        <v>0</v>
      </c>
      <c r="N80" s="9" t="s">
        <v>38</v>
      </c>
      <c r="O80" s="22">
        <f>IFERROR(SUM(O75:O79),"-")</f>
        <v>0</v>
      </c>
      <c r="P80" s="22">
        <f t="shared" si="48"/>
        <v>0</v>
      </c>
      <c r="Q80" s="23">
        <v>0</v>
      </c>
      <c r="R80" s="21"/>
      <c r="S80" s="24">
        <f>IFERROR(SUM(S75:S79),"-")</f>
        <v>0</v>
      </c>
      <c r="T80" s="6" t="s">
        <v>38</v>
      </c>
      <c r="U80" s="21"/>
      <c r="V80" s="23" t="str">
        <f>IFERROR(W80/S80,"-")</f>
        <v>-</v>
      </c>
      <c r="W80" s="24">
        <f>IFERROR(SUM(W75:W79),"-")</f>
        <v>0</v>
      </c>
      <c r="X80" s="22" t="str">
        <f>IFERROR(P80/W80,"-")</f>
        <v>-</v>
      </c>
      <c r="Y80" s="21"/>
      <c r="Z80" s="23" t="str">
        <f>IFERROR(AA80/W80,"-")</f>
        <v>-</v>
      </c>
      <c r="AA80" s="24">
        <v>0</v>
      </c>
      <c r="AB80" s="22" t="str">
        <f>IFERROR(P80/AA80,"-")</f>
        <v>-</v>
      </c>
      <c r="AC80" s="21"/>
      <c r="AD80" s="23" t="str">
        <f>IFERROR(AE80/W80,"-")</f>
        <v>-</v>
      </c>
      <c r="AE80" s="24">
        <v>0</v>
      </c>
      <c r="AF80" s="22" t="str">
        <f>IFERROR(L80/AE80,"-")</f>
        <v>-</v>
      </c>
      <c r="AG80" s="21"/>
      <c r="AH80" s="23" t="str">
        <f>IFERROR(P80/AJ80,"-")</f>
        <v>-</v>
      </c>
      <c r="AI80" s="22" t="str">
        <f>IFERROR(AJ80/#REF!,"-")</f>
        <v>-</v>
      </c>
      <c r="AJ80" s="22">
        <f>IFERROR(SUM(AJ75:AJ79),"-")</f>
        <v>0</v>
      </c>
      <c r="AK80" s="21"/>
    </row>
    <row r="81" spans="1:37" ht="15.75" customHeight="1" x14ac:dyDescent="0.3">
      <c r="A81" s="33"/>
      <c r="B81" s="34"/>
      <c r="C81" s="34"/>
      <c r="D81" s="34"/>
      <c r="E81" s="33"/>
      <c r="F81" s="34"/>
      <c r="G81" s="34"/>
      <c r="H81" s="34"/>
      <c r="I81" s="34"/>
      <c r="J81" s="33"/>
      <c r="K81" s="34"/>
      <c r="L81" s="34"/>
      <c r="M81" s="34"/>
      <c r="N81" s="34"/>
      <c r="O81" s="34"/>
      <c r="P81" s="34"/>
      <c r="Q81" s="34"/>
      <c r="R81" s="33"/>
      <c r="S81" s="34"/>
      <c r="T81" s="34"/>
      <c r="U81" s="33"/>
      <c r="V81" s="34"/>
      <c r="W81" s="34"/>
      <c r="X81" s="34"/>
      <c r="Y81" s="33"/>
      <c r="Z81" s="34"/>
      <c r="AA81" s="34"/>
      <c r="AB81" s="34"/>
      <c r="AC81" s="33"/>
      <c r="AD81" s="34"/>
      <c r="AE81" s="34"/>
      <c r="AF81" s="34"/>
      <c r="AG81" s="33"/>
      <c r="AH81" s="34"/>
      <c r="AI81" s="34"/>
      <c r="AJ81" s="34"/>
      <c r="AK81" s="33"/>
    </row>
    <row r="82" spans="1:37" ht="51.75" customHeight="1" x14ac:dyDescent="0.3">
      <c r="A82" s="1"/>
      <c r="B82" s="2" t="s">
        <v>0</v>
      </c>
      <c r="C82" s="2" t="s">
        <v>1</v>
      </c>
      <c r="D82" s="2" t="s">
        <v>2</v>
      </c>
      <c r="E82" s="1"/>
      <c r="F82" s="3" t="s">
        <v>3</v>
      </c>
      <c r="G82" s="2" t="s">
        <v>69</v>
      </c>
      <c r="H82" s="2" t="s">
        <v>70</v>
      </c>
      <c r="I82" s="2" t="s">
        <v>71</v>
      </c>
      <c r="J82" s="1"/>
      <c r="K82" s="4" t="s">
        <v>7</v>
      </c>
      <c r="L82" s="3" t="s">
        <v>8</v>
      </c>
      <c r="M82" s="4" t="s">
        <v>9</v>
      </c>
      <c r="N82" s="3" t="s">
        <v>10</v>
      </c>
      <c r="O82" s="5" t="s">
        <v>11</v>
      </c>
      <c r="P82" s="5" t="s">
        <v>12</v>
      </c>
      <c r="Q82" s="4" t="s">
        <v>13</v>
      </c>
      <c r="R82" s="1"/>
      <c r="S82" s="2" t="s">
        <v>14</v>
      </c>
      <c r="T82" s="2" t="s">
        <v>20</v>
      </c>
      <c r="U82" s="1"/>
      <c r="V82" s="6" t="s">
        <v>21</v>
      </c>
      <c r="W82" s="7" t="s">
        <v>22</v>
      </c>
      <c r="X82" s="7" t="s">
        <v>23</v>
      </c>
      <c r="Y82" s="1"/>
      <c r="Z82" s="6" t="s">
        <v>24</v>
      </c>
      <c r="AA82" s="8" t="s">
        <v>25</v>
      </c>
      <c r="AB82" s="7" t="s">
        <v>82</v>
      </c>
      <c r="AC82" s="1"/>
      <c r="AD82" s="9" t="s">
        <v>27</v>
      </c>
      <c r="AE82" s="8" t="s">
        <v>28</v>
      </c>
      <c r="AF82" s="8" t="s">
        <v>59</v>
      </c>
      <c r="AG82" s="1"/>
      <c r="AH82" s="9" t="s">
        <v>30</v>
      </c>
      <c r="AI82" s="8" t="s">
        <v>31</v>
      </c>
      <c r="AJ82" s="8" t="s">
        <v>32</v>
      </c>
      <c r="AK82" s="1"/>
    </row>
    <row r="83" spans="1:37" ht="30.75" customHeight="1" x14ac:dyDescent="0.3">
      <c r="A83" s="10"/>
      <c r="B83" s="11" t="s">
        <v>0</v>
      </c>
      <c r="C83" s="12" t="s">
        <v>1</v>
      </c>
      <c r="D83" s="12" t="s">
        <v>33</v>
      </c>
      <c r="E83" s="10"/>
      <c r="F83" s="13" t="s">
        <v>83</v>
      </c>
      <c r="G83" s="14" t="s">
        <v>36</v>
      </c>
      <c r="H83" s="15"/>
      <c r="I83" s="36">
        <f>INT(S83*V83)</f>
        <v>0</v>
      </c>
      <c r="J83" s="10"/>
      <c r="K83" s="17">
        <f t="shared" ref="K83:K87" si="50">IFERROR((H83*I83),"-")</f>
        <v>0</v>
      </c>
      <c r="L83" s="18"/>
      <c r="M83" s="17">
        <f t="shared" ref="M83:M87" si="51">IFERROR(K83*(1-L83),"-")</f>
        <v>0</v>
      </c>
      <c r="N83" s="19"/>
      <c r="O83" s="17">
        <f t="shared" ref="O83:O87" si="52">IFERROR(M83*(1+N83),"-")</f>
        <v>0</v>
      </c>
      <c r="P83" s="17">
        <f t="shared" ref="P83:P88" si="53">IFERROR(O83*1.2,"-")</f>
        <v>0</v>
      </c>
      <c r="Q83" s="18" t="str">
        <f t="shared" ref="Q83:Q87" si="54">IFERROR(P83/$P$8,"-")</f>
        <v>-</v>
      </c>
      <c r="R83" s="10"/>
      <c r="S83" s="35"/>
      <c r="T83" s="18" t="str">
        <f>IFERROR(#REF!/#REF!,"-")</f>
        <v>-</v>
      </c>
      <c r="U83" s="10"/>
      <c r="V83" s="19"/>
      <c r="W83" s="13">
        <f>IFERROR(ROUNDDOWN(S83*V83,0),"-")</f>
        <v>0</v>
      </c>
      <c r="X83" s="17" t="str">
        <f>IFERROR(P83/W83,"-")</f>
        <v>-</v>
      </c>
      <c r="Y83" s="10"/>
      <c r="Z83" s="19"/>
      <c r="AA83" s="13">
        <f>IF(G83="CPI",AE83*Z83,IFERROR(ROUNDDOWN(W83*Z83,0),"-"))</f>
        <v>0</v>
      </c>
      <c r="AB83" s="17" t="str">
        <f>IFERROR(P83/AA83,"-")</f>
        <v>-</v>
      </c>
      <c r="AC83" s="10"/>
      <c r="AD83" s="19"/>
      <c r="AE83" s="13">
        <f>IF(G83="CPI",I83,0)</f>
        <v>0</v>
      </c>
      <c r="AF83" s="17" t="str">
        <f>IFERROR(P83/AE83,"-")</f>
        <v>-</v>
      </c>
      <c r="AG83" s="10"/>
      <c r="AH83" s="18" t="str">
        <f>IFERROR(P83/AJ83,"-")</f>
        <v>-</v>
      </c>
      <c r="AI83" s="15"/>
      <c r="AJ83" s="17">
        <v>0</v>
      </c>
      <c r="AK83" s="10"/>
    </row>
    <row r="84" spans="1:37" ht="30.75" customHeight="1" x14ac:dyDescent="0.3">
      <c r="A84" s="10"/>
      <c r="B84" s="11" t="s">
        <v>0</v>
      </c>
      <c r="C84" s="12" t="s">
        <v>1</v>
      </c>
      <c r="D84" s="12" t="s">
        <v>33</v>
      </c>
      <c r="E84" s="10"/>
      <c r="F84" s="13" t="s">
        <v>83</v>
      </c>
      <c r="G84" s="14" t="s">
        <v>36</v>
      </c>
      <c r="H84" s="15"/>
      <c r="I84" s="36">
        <f>INT(S84*V84)</f>
        <v>0</v>
      </c>
      <c r="J84" s="10"/>
      <c r="K84" s="17">
        <f t="shared" si="50"/>
        <v>0</v>
      </c>
      <c r="L84" s="18"/>
      <c r="M84" s="17">
        <f t="shared" si="51"/>
        <v>0</v>
      </c>
      <c r="N84" s="19"/>
      <c r="O84" s="17">
        <f t="shared" si="52"/>
        <v>0</v>
      </c>
      <c r="P84" s="17">
        <f t="shared" si="53"/>
        <v>0</v>
      </c>
      <c r="Q84" s="18" t="str">
        <f t="shared" si="54"/>
        <v>-</v>
      </c>
      <c r="R84" s="10"/>
      <c r="S84" s="35"/>
      <c r="T84" s="18" t="str">
        <f>IFERROR(#REF!/#REF!,"-")</f>
        <v>-</v>
      </c>
      <c r="U84" s="10"/>
      <c r="V84" s="19"/>
      <c r="W84" s="13">
        <f>IFERROR(ROUNDDOWN(S84*V84,0),"-")</f>
        <v>0</v>
      </c>
      <c r="X84" s="17" t="str">
        <f>IFERROR(P84/W84,"-")</f>
        <v>-</v>
      </c>
      <c r="Y84" s="10"/>
      <c r="Z84" s="19"/>
      <c r="AA84" s="13">
        <f>IF(G84="CPI",AE84*Z84,IFERROR(ROUNDDOWN(W84*Z84,0),"-"))</f>
        <v>0</v>
      </c>
      <c r="AB84" s="17" t="str">
        <f>IFERROR(P84/AA84,"-")</f>
        <v>-</v>
      </c>
      <c r="AC84" s="10"/>
      <c r="AD84" s="19"/>
      <c r="AE84" s="13">
        <f>IF(G84="CPI",I84,0)</f>
        <v>0</v>
      </c>
      <c r="AF84" s="17" t="str">
        <f>IFERROR(P84/AE84,"-")</f>
        <v>-</v>
      </c>
      <c r="AG84" s="10"/>
      <c r="AH84" s="18" t="str">
        <f>IFERROR(P84/AJ84,"-")</f>
        <v>-</v>
      </c>
      <c r="AI84" s="15"/>
      <c r="AJ84" s="17">
        <v>0</v>
      </c>
      <c r="AK84" s="10"/>
    </row>
    <row r="85" spans="1:37" ht="30.75" customHeight="1" x14ac:dyDescent="0.3">
      <c r="A85" s="10"/>
      <c r="B85" s="11" t="s">
        <v>0</v>
      </c>
      <c r="C85" s="12" t="s">
        <v>1</v>
      </c>
      <c r="D85" s="12" t="s">
        <v>33</v>
      </c>
      <c r="E85" s="10"/>
      <c r="F85" s="13" t="s">
        <v>83</v>
      </c>
      <c r="G85" s="14" t="s">
        <v>36</v>
      </c>
      <c r="H85" s="15"/>
      <c r="I85" s="36">
        <f>INT(S85*V85)</f>
        <v>0</v>
      </c>
      <c r="J85" s="10"/>
      <c r="K85" s="17">
        <f t="shared" si="50"/>
        <v>0</v>
      </c>
      <c r="L85" s="18"/>
      <c r="M85" s="17">
        <f t="shared" si="51"/>
        <v>0</v>
      </c>
      <c r="N85" s="19"/>
      <c r="O85" s="17">
        <f t="shared" si="52"/>
        <v>0</v>
      </c>
      <c r="P85" s="17">
        <f t="shared" si="53"/>
        <v>0</v>
      </c>
      <c r="Q85" s="18" t="str">
        <f t="shared" si="54"/>
        <v>-</v>
      </c>
      <c r="R85" s="10"/>
      <c r="S85" s="35"/>
      <c r="T85" s="18" t="str">
        <f>IFERROR(#REF!/#REF!,"-")</f>
        <v>-</v>
      </c>
      <c r="U85" s="10"/>
      <c r="V85" s="19"/>
      <c r="W85" s="13">
        <f>IFERROR(ROUNDDOWN(S85*V85,0),"-")</f>
        <v>0</v>
      </c>
      <c r="X85" s="17" t="str">
        <f>IFERROR(P85/W85,"-")</f>
        <v>-</v>
      </c>
      <c r="Y85" s="10"/>
      <c r="Z85" s="19"/>
      <c r="AA85" s="13">
        <f>IF(G85="CPI",AE85*Z85,IFERROR(ROUNDDOWN(W85*Z85,0),"-"))</f>
        <v>0</v>
      </c>
      <c r="AB85" s="17" t="str">
        <f>IFERROR(P85/AA85,"-")</f>
        <v>-</v>
      </c>
      <c r="AC85" s="10"/>
      <c r="AD85" s="19"/>
      <c r="AE85" s="13">
        <f>IF(G85="CPI",I85,0)</f>
        <v>0</v>
      </c>
      <c r="AF85" s="17" t="str">
        <f>IFERROR(P85/AE85,"-")</f>
        <v>-</v>
      </c>
      <c r="AG85" s="10"/>
      <c r="AH85" s="18" t="str">
        <f>IFERROR(P85/AJ85,"-")</f>
        <v>-</v>
      </c>
      <c r="AI85" s="15"/>
      <c r="AJ85" s="17">
        <v>0</v>
      </c>
      <c r="AK85" s="10"/>
    </row>
    <row r="86" spans="1:37" ht="30.75" customHeight="1" x14ac:dyDescent="0.3">
      <c r="A86" s="10"/>
      <c r="B86" s="11" t="s">
        <v>0</v>
      </c>
      <c r="C86" s="12" t="s">
        <v>1</v>
      </c>
      <c r="D86" s="12" t="s">
        <v>33</v>
      </c>
      <c r="E86" s="10"/>
      <c r="F86" s="13" t="s">
        <v>83</v>
      </c>
      <c r="G86" s="14" t="s">
        <v>36</v>
      </c>
      <c r="H86" s="15"/>
      <c r="I86" s="36">
        <f>INT(S86*V86)</f>
        <v>0</v>
      </c>
      <c r="J86" s="10"/>
      <c r="K86" s="17">
        <f t="shared" si="50"/>
        <v>0</v>
      </c>
      <c r="L86" s="18"/>
      <c r="M86" s="17">
        <f t="shared" si="51"/>
        <v>0</v>
      </c>
      <c r="N86" s="19"/>
      <c r="O86" s="17">
        <f t="shared" si="52"/>
        <v>0</v>
      </c>
      <c r="P86" s="17">
        <f t="shared" si="53"/>
        <v>0</v>
      </c>
      <c r="Q86" s="18" t="str">
        <f t="shared" si="54"/>
        <v>-</v>
      </c>
      <c r="R86" s="10"/>
      <c r="S86" s="35"/>
      <c r="T86" s="18" t="str">
        <f>IFERROR(#REF!/#REF!,"-")</f>
        <v>-</v>
      </c>
      <c r="U86" s="10"/>
      <c r="V86" s="19"/>
      <c r="W86" s="13">
        <f>IFERROR(ROUNDDOWN(S86*V86,0),"-")</f>
        <v>0</v>
      </c>
      <c r="X86" s="17" t="str">
        <f>IFERROR(P86/W86,"-")</f>
        <v>-</v>
      </c>
      <c r="Y86" s="10"/>
      <c r="Z86" s="19"/>
      <c r="AA86" s="13">
        <f>IF(G86="CPI",AE86*Z86,IFERROR(ROUNDDOWN(W86*Z86,0),"-"))</f>
        <v>0</v>
      </c>
      <c r="AB86" s="17" t="str">
        <f>IFERROR(P86/AA86,"-")</f>
        <v>-</v>
      </c>
      <c r="AC86" s="10"/>
      <c r="AD86" s="19"/>
      <c r="AE86" s="13">
        <f>IF(G86="CPI",I86,0)</f>
        <v>0</v>
      </c>
      <c r="AF86" s="17" t="str">
        <f>IFERROR(P86/AE86,"-")</f>
        <v>-</v>
      </c>
      <c r="AG86" s="10"/>
      <c r="AH86" s="18" t="str">
        <f>IFERROR(P86/AJ86,"-")</f>
        <v>-</v>
      </c>
      <c r="AI86" s="15"/>
      <c r="AJ86" s="17">
        <v>0</v>
      </c>
      <c r="AK86" s="10"/>
    </row>
    <row r="87" spans="1:37" ht="30.75" customHeight="1" x14ac:dyDescent="0.3">
      <c r="A87" s="10"/>
      <c r="B87" s="11" t="s">
        <v>0</v>
      </c>
      <c r="C87" s="12" t="s">
        <v>1</v>
      </c>
      <c r="D87" s="12" t="s">
        <v>33</v>
      </c>
      <c r="E87" s="10"/>
      <c r="F87" s="13" t="s">
        <v>83</v>
      </c>
      <c r="G87" s="14" t="s">
        <v>35</v>
      </c>
      <c r="H87" s="15"/>
      <c r="I87" s="36">
        <f>INT(S87*V87)</f>
        <v>0</v>
      </c>
      <c r="J87" s="10"/>
      <c r="K87" s="17">
        <f t="shared" si="50"/>
        <v>0</v>
      </c>
      <c r="L87" s="18"/>
      <c r="M87" s="17">
        <f t="shared" si="51"/>
        <v>0</v>
      </c>
      <c r="N87" s="19"/>
      <c r="O87" s="17">
        <f t="shared" si="52"/>
        <v>0</v>
      </c>
      <c r="P87" s="17">
        <f t="shared" si="53"/>
        <v>0</v>
      </c>
      <c r="Q87" s="18" t="str">
        <f t="shared" si="54"/>
        <v>-</v>
      </c>
      <c r="R87" s="10"/>
      <c r="S87" s="35"/>
      <c r="T87" s="18" t="str">
        <f>IFERROR(#REF!/#REF!,"-")</f>
        <v>-</v>
      </c>
      <c r="U87" s="10"/>
      <c r="V87" s="19"/>
      <c r="W87" s="13">
        <f>IFERROR(ROUNDDOWN(S87*V87,0),"-")</f>
        <v>0</v>
      </c>
      <c r="X87" s="17" t="str">
        <f>IFERROR(P87/W87,"-")</f>
        <v>-</v>
      </c>
      <c r="Y87" s="10"/>
      <c r="Z87" s="19"/>
      <c r="AA87" s="13">
        <f>IF(G87="CPI",AE87*Z87,IFERROR(ROUNDDOWN(W87*Z87,0),"-"))</f>
        <v>0</v>
      </c>
      <c r="AB87" s="17" t="str">
        <f>IFERROR(P87/AA87,"-")</f>
        <v>-</v>
      </c>
      <c r="AC87" s="10"/>
      <c r="AD87" s="19"/>
      <c r="AE87" s="13">
        <f>IF(G87="CPI",I87,0)</f>
        <v>0</v>
      </c>
      <c r="AF87" s="17" t="str">
        <f>IFERROR(P87/AE87,"-")</f>
        <v>-</v>
      </c>
      <c r="AG87" s="10"/>
      <c r="AH87" s="18" t="str">
        <f>IFERROR(P87/AJ87,"-")</f>
        <v>-</v>
      </c>
      <c r="AI87" s="15"/>
      <c r="AJ87" s="17" t="s">
        <v>38</v>
      </c>
      <c r="AK87" s="10"/>
    </row>
    <row r="88" spans="1:37" ht="17.25" customHeight="1" x14ac:dyDescent="0.3">
      <c r="A88" s="21"/>
      <c r="B88" s="6" t="s">
        <v>37</v>
      </c>
      <c r="C88" s="9" t="s">
        <v>38</v>
      </c>
      <c r="D88" s="9" t="s">
        <v>38</v>
      </c>
      <c r="E88" s="21"/>
      <c r="F88" s="9" t="s">
        <v>38</v>
      </c>
      <c r="G88" s="6" t="s">
        <v>38</v>
      </c>
      <c r="H88" s="6" t="s">
        <v>38</v>
      </c>
      <c r="I88" s="6" t="s">
        <v>38</v>
      </c>
      <c r="J88" s="21"/>
      <c r="K88" s="22">
        <v>0</v>
      </c>
      <c r="L88" s="6" t="s">
        <v>38</v>
      </c>
      <c r="M88" s="22">
        <v>0</v>
      </c>
      <c r="N88" s="9" t="s">
        <v>38</v>
      </c>
      <c r="O88" s="22">
        <f>IFERROR(SUM(O83:O87),"-")</f>
        <v>0</v>
      </c>
      <c r="P88" s="22">
        <f t="shared" si="53"/>
        <v>0</v>
      </c>
      <c r="Q88" s="23">
        <v>0</v>
      </c>
      <c r="R88" s="21"/>
      <c r="S88" s="24">
        <f>IFERROR(SUM(S83:S87),"-")</f>
        <v>0</v>
      </c>
      <c r="T88" s="6" t="s">
        <v>38</v>
      </c>
      <c r="U88" s="21"/>
      <c r="V88" s="23" t="str">
        <f>IFERROR(W88/S88,"-")</f>
        <v>-</v>
      </c>
      <c r="W88" s="24">
        <f>IFERROR(SUM(W83:W87),"-")</f>
        <v>0</v>
      </c>
      <c r="X88" s="22" t="str">
        <f>IFERROR(P88/W88,"-")</f>
        <v>-</v>
      </c>
      <c r="Y88" s="21"/>
      <c r="Z88" s="23" t="str">
        <f>IFERROR(AA88/W88,"-")</f>
        <v>-</v>
      </c>
      <c r="AA88" s="24">
        <v>0</v>
      </c>
      <c r="AB88" s="22" t="str">
        <f>IFERROR(P88/AA88,"-")</f>
        <v>-</v>
      </c>
      <c r="AC88" s="21"/>
      <c r="AD88" s="23" t="str">
        <f>IFERROR(AE88/W88,"-")</f>
        <v>-</v>
      </c>
      <c r="AE88" s="24">
        <v>0</v>
      </c>
      <c r="AF88" s="22" t="str">
        <f>IFERROR(L88/AE88,"-")</f>
        <v>-</v>
      </c>
      <c r="AG88" s="21"/>
      <c r="AH88" s="23" t="str">
        <f>IFERROR(P88/AJ88,"-")</f>
        <v>-</v>
      </c>
      <c r="AI88" s="22" t="str">
        <f>IFERROR(AJ88/#REF!,"-")</f>
        <v>-</v>
      </c>
      <c r="AJ88" s="22">
        <f>IFERROR(SUM(AJ83:AJ87),"-")</f>
        <v>0</v>
      </c>
      <c r="AK88" s="21"/>
    </row>
    <row r="89" spans="1:37" ht="15.75" customHeight="1" x14ac:dyDescent="0.3">
      <c r="A89" s="33"/>
      <c r="B89" s="34"/>
      <c r="C89" s="34"/>
      <c r="D89" s="34"/>
      <c r="E89" s="33"/>
      <c r="F89" s="34"/>
      <c r="G89" s="34"/>
      <c r="H89" s="34"/>
      <c r="I89" s="34"/>
      <c r="J89" s="33"/>
      <c r="K89" s="34"/>
      <c r="L89" s="34"/>
      <c r="M89" s="34"/>
      <c r="N89" s="34"/>
      <c r="O89" s="34"/>
      <c r="P89" s="34"/>
      <c r="Q89" s="34"/>
      <c r="R89" s="33"/>
      <c r="S89" s="34"/>
      <c r="T89" s="34"/>
      <c r="U89" s="33"/>
      <c r="V89" s="34"/>
      <c r="W89" s="34"/>
      <c r="X89" s="34"/>
      <c r="Y89" s="33"/>
      <c r="Z89" s="34"/>
      <c r="AA89" s="34"/>
      <c r="AB89" s="34"/>
      <c r="AC89" s="33"/>
      <c r="AD89" s="34"/>
      <c r="AE89" s="34"/>
      <c r="AF89" s="34"/>
      <c r="AG89" s="33"/>
      <c r="AH89" s="34"/>
      <c r="AI89" s="34"/>
      <c r="AJ89" s="34"/>
      <c r="AK89" s="33"/>
    </row>
    <row r="90" spans="1:37" ht="51.75" customHeight="1" x14ac:dyDescent="0.3">
      <c r="A90" s="1"/>
      <c r="B90" s="2" t="s">
        <v>0</v>
      </c>
      <c r="C90" s="2" t="s">
        <v>1</v>
      </c>
      <c r="D90" s="2" t="s">
        <v>2</v>
      </c>
      <c r="E90" s="1"/>
      <c r="F90" s="3" t="s">
        <v>3</v>
      </c>
      <c r="G90" s="2" t="s">
        <v>69</v>
      </c>
      <c r="H90" s="2" t="s">
        <v>70</v>
      </c>
      <c r="I90" s="2" t="s">
        <v>71</v>
      </c>
      <c r="J90" s="1"/>
      <c r="K90" s="4" t="s">
        <v>7</v>
      </c>
      <c r="L90" s="3" t="s">
        <v>8</v>
      </c>
      <c r="M90" s="4" t="s">
        <v>9</v>
      </c>
      <c r="N90" s="3" t="s">
        <v>10</v>
      </c>
      <c r="O90" s="5" t="s">
        <v>11</v>
      </c>
      <c r="P90" s="5" t="s">
        <v>12</v>
      </c>
      <c r="Q90" s="4" t="s">
        <v>13</v>
      </c>
      <c r="R90" s="1"/>
      <c r="S90" s="2" t="s">
        <v>14</v>
      </c>
      <c r="T90" s="2" t="s">
        <v>20</v>
      </c>
      <c r="U90" s="1"/>
      <c r="V90" s="6" t="s">
        <v>21</v>
      </c>
      <c r="W90" s="7" t="s">
        <v>22</v>
      </c>
      <c r="X90" s="7" t="s">
        <v>23</v>
      </c>
      <c r="Y90" s="1"/>
      <c r="Z90" s="6" t="s">
        <v>24</v>
      </c>
      <c r="AA90" s="8" t="s">
        <v>25</v>
      </c>
      <c r="AB90" s="8" t="s">
        <v>26</v>
      </c>
      <c r="AC90" s="1"/>
      <c r="AD90" s="9" t="s">
        <v>27</v>
      </c>
      <c r="AE90" s="8" t="s">
        <v>28</v>
      </c>
      <c r="AF90" s="8" t="s">
        <v>59</v>
      </c>
      <c r="AG90" s="1"/>
      <c r="AH90" s="9" t="s">
        <v>30</v>
      </c>
      <c r="AI90" s="8" t="s">
        <v>31</v>
      </c>
      <c r="AJ90" s="8" t="s">
        <v>32</v>
      </c>
      <c r="AK90" s="1"/>
    </row>
    <row r="91" spans="1:37" ht="30.75" customHeight="1" x14ac:dyDescent="0.3">
      <c r="A91" s="10"/>
      <c r="B91" s="11" t="s">
        <v>0</v>
      </c>
      <c r="C91" s="12" t="s">
        <v>1</v>
      </c>
      <c r="D91" s="12" t="s">
        <v>33</v>
      </c>
      <c r="E91" s="10"/>
      <c r="F91" s="13" t="s">
        <v>84</v>
      </c>
      <c r="G91" s="14" t="s">
        <v>36</v>
      </c>
      <c r="H91" s="15"/>
      <c r="I91" s="36">
        <f>INT(S91*V91)</f>
        <v>0</v>
      </c>
      <c r="J91" s="10"/>
      <c r="K91" s="17">
        <f t="shared" ref="K91:K95" si="55">IFERROR((H91*I91),"-")</f>
        <v>0</v>
      </c>
      <c r="L91" s="18"/>
      <c r="M91" s="17">
        <f t="shared" ref="M91:M95" si="56">IFERROR(K91*(1-L91),"-")</f>
        <v>0</v>
      </c>
      <c r="N91" s="19"/>
      <c r="O91" s="17">
        <f t="shared" ref="O91:O95" si="57">IFERROR(M91*(1+N91),"-")</f>
        <v>0</v>
      </c>
      <c r="P91" s="17">
        <f t="shared" ref="P91:P96" si="58">IFERROR(O91*1.2,"-")</f>
        <v>0</v>
      </c>
      <c r="Q91" s="18" t="str">
        <f t="shared" ref="Q91:Q95" si="59">IFERROR(P91/$P$8,"-")</f>
        <v>-</v>
      </c>
      <c r="R91" s="10"/>
      <c r="S91" s="35"/>
      <c r="T91" s="18" t="str">
        <f>IFERROR(#REF!/#REF!,"-")</f>
        <v>-</v>
      </c>
      <c r="U91" s="10"/>
      <c r="V91" s="19">
        <v>1.2E-2</v>
      </c>
      <c r="W91" s="13">
        <f>IFERROR(ROUNDDOWN(S91*V91,0),"-")</f>
        <v>0</v>
      </c>
      <c r="X91" s="17" t="str">
        <f>IFERROR(P91/W91,"-")</f>
        <v>-</v>
      </c>
      <c r="Y91" s="10"/>
      <c r="Z91" s="19"/>
      <c r="AA91" s="13">
        <f>IF(G91="CPI",AE91*Z91,IFERROR(ROUNDDOWN(W91*Z91,0),"-"))</f>
        <v>0</v>
      </c>
      <c r="AB91" s="17" t="str">
        <f>IFERROR(P91/AA91,"-")</f>
        <v>-</v>
      </c>
      <c r="AC91" s="10"/>
      <c r="AD91" s="19"/>
      <c r="AE91" s="13">
        <f>IF(G91="CPI",I91,0)</f>
        <v>0</v>
      </c>
      <c r="AF91" s="17" t="str">
        <f>IFERROR(P91/AE91,"-")</f>
        <v>-</v>
      </c>
      <c r="AG91" s="10"/>
      <c r="AH91" s="18" t="str">
        <f>IFERROR(P91/AJ91,"-")</f>
        <v>-</v>
      </c>
      <c r="AI91" s="15"/>
      <c r="AJ91" s="17">
        <v>0</v>
      </c>
      <c r="AK91" s="10"/>
    </row>
    <row r="92" spans="1:37" ht="30.75" customHeight="1" x14ac:dyDescent="0.3">
      <c r="A92" s="10"/>
      <c r="B92" s="11" t="s">
        <v>0</v>
      </c>
      <c r="C92" s="12" t="s">
        <v>1</v>
      </c>
      <c r="D92" s="12" t="s">
        <v>33</v>
      </c>
      <c r="E92" s="10"/>
      <c r="F92" s="13" t="s">
        <v>84</v>
      </c>
      <c r="G92" s="14" t="s">
        <v>36</v>
      </c>
      <c r="H92" s="15"/>
      <c r="I92" s="36">
        <f>INT(S92*V92)</f>
        <v>0</v>
      </c>
      <c r="J92" s="10"/>
      <c r="K92" s="17">
        <f t="shared" si="55"/>
        <v>0</v>
      </c>
      <c r="L92" s="18"/>
      <c r="M92" s="17">
        <f t="shared" si="56"/>
        <v>0</v>
      </c>
      <c r="N92" s="19"/>
      <c r="O92" s="17">
        <f t="shared" si="57"/>
        <v>0</v>
      </c>
      <c r="P92" s="17">
        <f t="shared" si="58"/>
        <v>0</v>
      </c>
      <c r="Q92" s="18" t="str">
        <f t="shared" si="59"/>
        <v>-</v>
      </c>
      <c r="R92" s="10"/>
      <c r="S92" s="35"/>
      <c r="T92" s="18" t="str">
        <f>IFERROR(#REF!/#REF!,"-")</f>
        <v>-</v>
      </c>
      <c r="U92" s="10"/>
      <c r="V92" s="19"/>
      <c r="W92" s="13">
        <f>IFERROR(ROUNDDOWN(S92*V92,0),"-")</f>
        <v>0</v>
      </c>
      <c r="X92" s="17" t="str">
        <f>IFERROR(P92/W92,"-")</f>
        <v>-</v>
      </c>
      <c r="Y92" s="10"/>
      <c r="Z92" s="19"/>
      <c r="AA92" s="13">
        <f>IF(G92="CPI",AE92*Z92,IFERROR(ROUNDDOWN(W92*Z92,0),"-"))</f>
        <v>0</v>
      </c>
      <c r="AB92" s="17" t="str">
        <f>IFERROR(P92/AA92,"-")</f>
        <v>-</v>
      </c>
      <c r="AC92" s="10"/>
      <c r="AD92" s="19"/>
      <c r="AE92" s="13">
        <f>IF(G92="CPI",I92,0)</f>
        <v>0</v>
      </c>
      <c r="AF92" s="17" t="str">
        <f>IFERROR(P92/AE92,"-")</f>
        <v>-</v>
      </c>
      <c r="AG92" s="10"/>
      <c r="AH92" s="18" t="str">
        <f>IFERROR(P92/AJ92,"-")</f>
        <v>-</v>
      </c>
      <c r="AI92" s="15"/>
      <c r="AJ92" s="17">
        <v>0</v>
      </c>
      <c r="AK92" s="10"/>
    </row>
    <row r="93" spans="1:37" ht="30.75" customHeight="1" x14ac:dyDescent="0.3">
      <c r="A93" s="10"/>
      <c r="B93" s="11" t="s">
        <v>0</v>
      </c>
      <c r="C93" s="12" t="s">
        <v>1</v>
      </c>
      <c r="D93" s="12" t="s">
        <v>33</v>
      </c>
      <c r="E93" s="10"/>
      <c r="F93" s="13" t="s">
        <v>84</v>
      </c>
      <c r="G93" s="14" t="s">
        <v>36</v>
      </c>
      <c r="H93" s="15"/>
      <c r="I93" s="36">
        <f>INT(S93*V93)</f>
        <v>0</v>
      </c>
      <c r="J93" s="10"/>
      <c r="K93" s="17">
        <f t="shared" si="55"/>
        <v>0</v>
      </c>
      <c r="L93" s="18"/>
      <c r="M93" s="17">
        <f t="shared" si="56"/>
        <v>0</v>
      </c>
      <c r="N93" s="19"/>
      <c r="O93" s="17">
        <f t="shared" si="57"/>
        <v>0</v>
      </c>
      <c r="P93" s="17">
        <f t="shared" si="58"/>
        <v>0</v>
      </c>
      <c r="Q93" s="18" t="str">
        <f t="shared" si="59"/>
        <v>-</v>
      </c>
      <c r="R93" s="10"/>
      <c r="S93" s="35"/>
      <c r="T93" s="18" t="str">
        <f>IFERROR(#REF!/#REF!,"-")</f>
        <v>-</v>
      </c>
      <c r="U93" s="10"/>
      <c r="V93" s="19"/>
      <c r="W93" s="13">
        <f>IFERROR(ROUNDDOWN(S93*V93,0),"-")</f>
        <v>0</v>
      </c>
      <c r="X93" s="17" t="str">
        <f>IFERROR(P93/W93,"-")</f>
        <v>-</v>
      </c>
      <c r="Y93" s="10"/>
      <c r="Z93" s="19"/>
      <c r="AA93" s="13">
        <f>IF(G93="CPI",AE93*Z93,IFERROR(ROUNDDOWN(W93*Z93,0),"-"))</f>
        <v>0</v>
      </c>
      <c r="AB93" s="17" t="str">
        <f>IFERROR(P93/AA93,"-")</f>
        <v>-</v>
      </c>
      <c r="AC93" s="10"/>
      <c r="AD93" s="19"/>
      <c r="AE93" s="13">
        <f>IF(G93="CPI",I93,0)</f>
        <v>0</v>
      </c>
      <c r="AF93" s="17" t="str">
        <f>IFERROR(P93/AE93,"-")</f>
        <v>-</v>
      </c>
      <c r="AG93" s="10"/>
      <c r="AH93" s="18" t="str">
        <f>IFERROR(P93/AJ93,"-")</f>
        <v>-</v>
      </c>
      <c r="AI93" s="15"/>
      <c r="AJ93" s="17">
        <v>0</v>
      </c>
      <c r="AK93" s="10"/>
    </row>
    <row r="94" spans="1:37" ht="30.75" customHeight="1" x14ac:dyDescent="0.3">
      <c r="A94" s="10"/>
      <c r="B94" s="11" t="s">
        <v>0</v>
      </c>
      <c r="C94" s="12" t="s">
        <v>1</v>
      </c>
      <c r="D94" s="12" t="s">
        <v>33</v>
      </c>
      <c r="E94" s="10"/>
      <c r="F94" s="13" t="s">
        <v>84</v>
      </c>
      <c r="G94" s="14" t="s">
        <v>36</v>
      </c>
      <c r="H94" s="15"/>
      <c r="I94" s="36">
        <f>INT(S94*V94)</f>
        <v>0</v>
      </c>
      <c r="J94" s="10"/>
      <c r="K94" s="17">
        <f t="shared" si="55"/>
        <v>0</v>
      </c>
      <c r="L94" s="18"/>
      <c r="M94" s="17">
        <f t="shared" si="56"/>
        <v>0</v>
      </c>
      <c r="N94" s="19"/>
      <c r="O94" s="17">
        <f t="shared" si="57"/>
        <v>0</v>
      </c>
      <c r="P94" s="17">
        <f t="shared" si="58"/>
        <v>0</v>
      </c>
      <c r="Q94" s="18" t="str">
        <f t="shared" si="59"/>
        <v>-</v>
      </c>
      <c r="R94" s="10"/>
      <c r="S94" s="35"/>
      <c r="T94" s="18" t="str">
        <f>IFERROR(#REF!/#REF!,"-")</f>
        <v>-</v>
      </c>
      <c r="U94" s="10"/>
      <c r="V94" s="19"/>
      <c r="W94" s="13">
        <f>IFERROR(ROUNDDOWN(S94*V94,0),"-")</f>
        <v>0</v>
      </c>
      <c r="X94" s="17" t="str">
        <f>IFERROR(P94/W94,"-")</f>
        <v>-</v>
      </c>
      <c r="Y94" s="10"/>
      <c r="Z94" s="19"/>
      <c r="AA94" s="13">
        <f>IF(G94="CPI",AE94*Z94,IFERROR(ROUNDDOWN(W94*Z94,0),"-"))</f>
        <v>0</v>
      </c>
      <c r="AB94" s="17" t="str">
        <f>IFERROR(P94/AA94,"-")</f>
        <v>-</v>
      </c>
      <c r="AC94" s="10"/>
      <c r="AD94" s="19"/>
      <c r="AE94" s="13">
        <f>IF(G94="CPI",I94,0)</f>
        <v>0</v>
      </c>
      <c r="AF94" s="17" t="str">
        <f>IFERROR(P94/AE94,"-")</f>
        <v>-</v>
      </c>
      <c r="AG94" s="10"/>
      <c r="AH94" s="18" t="str">
        <f>IFERROR(P94/AJ94,"-")</f>
        <v>-</v>
      </c>
      <c r="AI94" s="15"/>
      <c r="AJ94" s="17">
        <v>0</v>
      </c>
      <c r="AK94" s="10"/>
    </row>
    <row r="95" spans="1:37" ht="30.75" customHeight="1" x14ac:dyDescent="0.3">
      <c r="A95" s="10"/>
      <c r="B95" s="11" t="s">
        <v>0</v>
      </c>
      <c r="C95" s="12" t="s">
        <v>1</v>
      </c>
      <c r="D95" s="12" t="s">
        <v>33</v>
      </c>
      <c r="E95" s="10"/>
      <c r="F95" s="13" t="s">
        <v>84</v>
      </c>
      <c r="G95" s="14" t="s">
        <v>36</v>
      </c>
      <c r="H95" s="15"/>
      <c r="I95" s="36">
        <f>INT(S95*V95)</f>
        <v>0</v>
      </c>
      <c r="J95" s="10"/>
      <c r="K95" s="17">
        <f t="shared" si="55"/>
        <v>0</v>
      </c>
      <c r="L95" s="18"/>
      <c r="M95" s="17">
        <f t="shared" si="56"/>
        <v>0</v>
      </c>
      <c r="N95" s="19"/>
      <c r="O95" s="17">
        <f t="shared" si="57"/>
        <v>0</v>
      </c>
      <c r="P95" s="17">
        <f t="shared" si="58"/>
        <v>0</v>
      </c>
      <c r="Q95" s="18" t="str">
        <f t="shared" si="59"/>
        <v>-</v>
      </c>
      <c r="R95" s="10"/>
      <c r="S95" s="35"/>
      <c r="T95" s="18" t="str">
        <f>IFERROR(#REF!/#REF!,"-")</f>
        <v>-</v>
      </c>
      <c r="U95" s="10"/>
      <c r="V95" s="19"/>
      <c r="W95" s="13">
        <f>IFERROR(ROUNDDOWN(S95*V95,0),"-")</f>
        <v>0</v>
      </c>
      <c r="X95" s="17" t="str">
        <f>IFERROR(P95/W95,"-")</f>
        <v>-</v>
      </c>
      <c r="Y95" s="10"/>
      <c r="Z95" s="19"/>
      <c r="AA95" s="13">
        <f>IF(G95="CPI",AE95*Z95,IFERROR(ROUNDDOWN(W95*Z95,0),"-"))</f>
        <v>0</v>
      </c>
      <c r="AB95" s="17" t="str">
        <f>IFERROR(P95/AA95,"-")</f>
        <v>-</v>
      </c>
      <c r="AC95" s="10"/>
      <c r="AD95" s="19"/>
      <c r="AE95" s="13">
        <f>IF(G95="CPI",I95,0)</f>
        <v>0</v>
      </c>
      <c r="AF95" s="17" t="str">
        <f>IFERROR(P95/AE95,"-")</f>
        <v>-</v>
      </c>
      <c r="AG95" s="10"/>
      <c r="AH95" s="18" t="str">
        <f>IFERROR(P95/AJ95,"-")</f>
        <v>-</v>
      </c>
      <c r="AI95" s="15"/>
      <c r="AJ95" s="17">
        <v>0</v>
      </c>
      <c r="AK95" s="10"/>
    </row>
    <row r="96" spans="1:37" ht="17.25" customHeight="1" x14ac:dyDescent="0.3">
      <c r="A96" s="21"/>
      <c r="B96" s="6" t="s">
        <v>37</v>
      </c>
      <c r="C96" s="9" t="s">
        <v>38</v>
      </c>
      <c r="D96" s="9" t="s">
        <v>38</v>
      </c>
      <c r="E96" s="21"/>
      <c r="F96" s="9" t="s">
        <v>38</v>
      </c>
      <c r="G96" s="6" t="s">
        <v>38</v>
      </c>
      <c r="H96" s="6" t="s">
        <v>38</v>
      </c>
      <c r="I96" s="6" t="s">
        <v>38</v>
      </c>
      <c r="J96" s="21"/>
      <c r="K96" s="22">
        <v>228</v>
      </c>
      <c r="L96" s="6" t="s">
        <v>38</v>
      </c>
      <c r="M96" s="22">
        <v>228</v>
      </c>
      <c r="N96" s="9" t="s">
        <v>38</v>
      </c>
      <c r="O96" s="22">
        <f>IFERROR(SUM(O91:O95),"-")</f>
        <v>0</v>
      </c>
      <c r="P96" s="22">
        <f t="shared" si="58"/>
        <v>0</v>
      </c>
      <c r="Q96" s="23">
        <v>0</v>
      </c>
      <c r="R96" s="21"/>
      <c r="S96" s="24">
        <f>IFERROR(SUM(S91:S95),"-")</f>
        <v>0</v>
      </c>
      <c r="T96" s="6" t="s">
        <v>38</v>
      </c>
      <c r="U96" s="21"/>
      <c r="V96" s="23" t="str">
        <f>IFERROR(W96/S96,"-")</f>
        <v>-</v>
      </c>
      <c r="W96" s="24">
        <f>IFERROR(SUM(W91:W95),"-")</f>
        <v>0</v>
      </c>
      <c r="X96" s="22" t="str">
        <f>IFERROR(P96/W96,"-")</f>
        <v>-</v>
      </c>
      <c r="Y96" s="21"/>
      <c r="Z96" s="23" t="str">
        <f>IFERROR(AA96/W96,"-")</f>
        <v>-</v>
      </c>
      <c r="AA96" s="24">
        <v>0</v>
      </c>
      <c r="AB96" s="22" t="str">
        <f>IFERROR(P96/AA96,"-")</f>
        <v>-</v>
      </c>
      <c r="AC96" s="21"/>
      <c r="AD96" s="23" t="str">
        <f>IFERROR(AE96/W96,"-")</f>
        <v>-</v>
      </c>
      <c r="AE96" s="24">
        <v>0</v>
      </c>
      <c r="AF96" s="22" t="str">
        <f>IFERROR(L96/AE96,"-")</f>
        <v>-</v>
      </c>
      <c r="AG96" s="21"/>
      <c r="AH96" s="23" t="str">
        <f>IFERROR(P96/AJ96,"-")</f>
        <v>-</v>
      </c>
      <c r="AI96" s="22" t="str">
        <f>IFERROR(AJ96/#REF!,"-")</f>
        <v>-</v>
      </c>
      <c r="AJ96" s="22">
        <f>IFERROR(SUM(AJ91:AJ95),"-")</f>
        <v>0</v>
      </c>
      <c r="AK96" s="21"/>
    </row>
    <row r="97" spans="1:37" ht="15.75" customHeight="1" x14ac:dyDescent="0.3">
      <c r="A97" s="33"/>
      <c r="B97" s="34"/>
      <c r="C97" s="34"/>
      <c r="D97" s="34"/>
      <c r="E97" s="33"/>
      <c r="F97" s="34"/>
      <c r="G97" s="34"/>
      <c r="H97" s="34"/>
      <c r="I97" s="34"/>
      <c r="J97" s="33"/>
      <c r="K97" s="34"/>
      <c r="L97" s="34"/>
      <c r="M97" s="34"/>
      <c r="N97" s="34"/>
      <c r="O97" s="34"/>
      <c r="P97" s="34"/>
      <c r="Q97" s="34"/>
      <c r="R97" s="33"/>
      <c r="S97" s="34"/>
      <c r="T97" s="34"/>
      <c r="U97" s="33"/>
      <c r="V97" s="34"/>
      <c r="W97" s="34"/>
      <c r="X97" s="34"/>
      <c r="Y97" s="33"/>
      <c r="Z97" s="34"/>
      <c r="AA97" s="34"/>
      <c r="AB97" s="34"/>
      <c r="AC97" s="33"/>
      <c r="AD97" s="34"/>
      <c r="AE97" s="34"/>
      <c r="AF97" s="34"/>
      <c r="AG97" s="33"/>
      <c r="AH97" s="34"/>
      <c r="AI97" s="34"/>
      <c r="AJ97" s="34"/>
      <c r="AK97" s="33"/>
    </row>
    <row r="98" spans="1:37" ht="15.75" customHeight="1" x14ac:dyDescent="0.3">
      <c r="A98" s="33"/>
      <c r="B98" s="34"/>
      <c r="C98" s="34"/>
      <c r="D98" s="34"/>
      <c r="E98" s="33"/>
      <c r="F98" s="34"/>
      <c r="G98" s="34"/>
      <c r="H98" s="34"/>
      <c r="I98" s="34"/>
      <c r="J98" s="33"/>
      <c r="K98" s="34"/>
      <c r="L98" s="34"/>
      <c r="M98" s="34"/>
      <c r="N98" s="34"/>
      <c r="O98" s="34"/>
      <c r="P98" s="34"/>
      <c r="Q98" s="34"/>
      <c r="R98" s="33"/>
      <c r="S98" s="34"/>
      <c r="T98" s="34"/>
      <c r="U98" s="33"/>
      <c r="V98" s="34"/>
      <c r="W98" s="34"/>
      <c r="X98" s="34"/>
      <c r="Y98" s="33"/>
      <c r="Z98" s="34"/>
      <c r="AA98" s="34"/>
      <c r="AB98" s="34"/>
      <c r="AC98" s="33"/>
      <c r="AD98" s="34"/>
      <c r="AE98" s="34"/>
      <c r="AF98" s="34"/>
      <c r="AG98" s="33"/>
      <c r="AH98" s="34"/>
      <c r="AI98" s="34"/>
      <c r="AJ98" s="34"/>
      <c r="AK98" s="33"/>
    </row>
    <row r="99" spans="1:37" ht="15.75" customHeight="1" x14ac:dyDescent="0.3">
      <c r="A99" s="33"/>
      <c r="B99" s="34"/>
      <c r="C99" s="34"/>
      <c r="D99" s="34"/>
      <c r="E99" s="33"/>
      <c r="F99" s="34"/>
      <c r="G99" s="34"/>
      <c r="H99" s="34"/>
      <c r="I99" s="34"/>
      <c r="J99" s="33"/>
      <c r="K99" s="34"/>
      <c r="L99" s="34"/>
      <c r="M99" s="34"/>
      <c r="N99" s="34"/>
      <c r="O99" s="34"/>
      <c r="P99" s="34"/>
      <c r="Q99" s="34"/>
      <c r="R99" s="33"/>
      <c r="S99" s="34"/>
      <c r="T99" s="34"/>
      <c r="U99" s="33"/>
      <c r="V99" s="34"/>
      <c r="W99" s="34"/>
      <c r="X99" s="34"/>
      <c r="Y99" s="33"/>
      <c r="Z99" s="34"/>
      <c r="AA99" s="34"/>
      <c r="AB99" s="34"/>
      <c r="AC99" s="33"/>
      <c r="AD99" s="34"/>
      <c r="AE99" s="34"/>
      <c r="AF99" s="34"/>
      <c r="AG99" s="33"/>
      <c r="AH99" s="34"/>
      <c r="AI99" s="34"/>
      <c r="AJ99" s="34"/>
      <c r="AK99" s="33"/>
    </row>
    <row r="100" spans="1:37" ht="15.75" customHeight="1" x14ac:dyDescent="0.3">
      <c r="A100" s="33"/>
      <c r="B100" s="34"/>
      <c r="C100" s="34"/>
      <c r="D100" s="34"/>
      <c r="E100" s="33"/>
      <c r="F100" s="34"/>
      <c r="G100" s="34"/>
      <c r="H100" s="34"/>
      <c r="I100" s="34"/>
      <c r="J100" s="33"/>
      <c r="K100" s="34"/>
      <c r="L100" s="34"/>
      <c r="M100" s="34"/>
      <c r="N100" s="34"/>
      <c r="O100" s="34"/>
      <c r="P100" s="34"/>
      <c r="Q100" s="34"/>
      <c r="R100" s="33"/>
      <c r="S100" s="34"/>
      <c r="T100" s="34"/>
      <c r="U100" s="33"/>
      <c r="V100" s="34"/>
      <c r="W100" s="34"/>
      <c r="X100" s="34"/>
      <c r="Y100" s="33"/>
      <c r="Z100" s="34"/>
      <c r="AA100" s="34"/>
      <c r="AB100" s="34"/>
      <c r="AC100" s="33"/>
      <c r="AD100" s="34"/>
      <c r="AE100" s="34"/>
      <c r="AF100" s="34"/>
      <c r="AG100" s="33"/>
      <c r="AH100" s="34"/>
      <c r="AI100" s="34"/>
      <c r="AJ100" s="34"/>
      <c r="AK100" s="33"/>
    </row>
    <row r="101" spans="1:37" ht="15.75" customHeight="1" x14ac:dyDescent="0.3">
      <c r="A101" s="33"/>
      <c r="B101" s="34"/>
      <c r="C101" s="34"/>
      <c r="D101" s="34"/>
      <c r="E101" s="33"/>
      <c r="F101" s="34"/>
      <c r="G101" s="34"/>
      <c r="H101" s="34"/>
      <c r="I101" s="34"/>
      <c r="J101" s="33"/>
      <c r="K101" s="34"/>
      <c r="L101" s="34"/>
      <c r="M101" s="34"/>
      <c r="N101" s="34"/>
      <c r="O101" s="34"/>
      <c r="P101" s="34"/>
      <c r="Q101" s="34"/>
      <c r="R101" s="33"/>
      <c r="S101" s="34"/>
      <c r="T101" s="34"/>
      <c r="U101" s="33"/>
      <c r="V101" s="34"/>
      <c r="W101" s="34"/>
      <c r="X101" s="34"/>
      <c r="Y101" s="33"/>
      <c r="Z101" s="34"/>
      <c r="AA101" s="34"/>
      <c r="AB101" s="34"/>
      <c r="AC101" s="33"/>
      <c r="AD101" s="34"/>
      <c r="AE101" s="34"/>
      <c r="AF101" s="34"/>
      <c r="AG101" s="33"/>
      <c r="AH101" s="34"/>
      <c r="AI101" s="34"/>
      <c r="AJ101" s="34"/>
      <c r="AK101" s="33"/>
    </row>
    <row r="102" spans="1:37" ht="15.75" customHeight="1" x14ac:dyDescent="0.3">
      <c r="A102" s="33"/>
      <c r="B102" s="34"/>
      <c r="C102" s="34"/>
      <c r="D102" s="34"/>
      <c r="E102" s="33"/>
      <c r="F102" s="34"/>
      <c r="G102" s="34"/>
      <c r="H102" s="34"/>
      <c r="I102" s="34"/>
      <c r="J102" s="33"/>
      <c r="K102" s="34"/>
      <c r="L102" s="34"/>
      <c r="M102" s="34"/>
      <c r="N102" s="34"/>
      <c r="O102" s="34"/>
      <c r="P102" s="34"/>
      <c r="Q102" s="34"/>
      <c r="R102" s="33"/>
      <c r="S102" s="34"/>
      <c r="T102" s="34"/>
      <c r="U102" s="33"/>
      <c r="V102" s="34"/>
      <c r="W102" s="34"/>
      <c r="X102" s="34"/>
      <c r="Y102" s="33"/>
      <c r="Z102" s="34"/>
      <c r="AA102" s="34"/>
      <c r="AB102" s="34"/>
      <c r="AC102" s="33"/>
      <c r="AD102" s="34"/>
      <c r="AE102" s="34"/>
      <c r="AF102" s="34"/>
      <c r="AG102" s="33"/>
      <c r="AH102" s="34"/>
      <c r="AI102" s="34"/>
      <c r="AJ102" s="34"/>
      <c r="AK102" s="33"/>
    </row>
    <row r="103" spans="1:37" ht="15.75" customHeight="1" x14ac:dyDescent="0.3">
      <c r="A103" s="33"/>
      <c r="B103" s="34"/>
      <c r="C103" s="34"/>
      <c r="D103" s="34"/>
      <c r="E103" s="33"/>
      <c r="F103" s="34"/>
      <c r="G103" s="34"/>
      <c r="H103" s="34"/>
      <c r="I103" s="34"/>
      <c r="J103" s="33"/>
      <c r="K103" s="34"/>
      <c r="L103" s="34"/>
      <c r="M103" s="34"/>
      <c r="N103" s="34"/>
      <c r="O103" s="34"/>
      <c r="P103" s="34"/>
      <c r="Q103" s="34"/>
      <c r="R103" s="33"/>
      <c r="S103" s="34"/>
      <c r="T103" s="34"/>
      <c r="U103" s="33"/>
      <c r="V103" s="34"/>
      <c r="W103" s="34"/>
      <c r="X103" s="34"/>
      <c r="Y103" s="33"/>
      <c r="Z103" s="34"/>
      <c r="AA103" s="34"/>
      <c r="AB103" s="34"/>
      <c r="AC103" s="33"/>
      <c r="AD103" s="34"/>
      <c r="AE103" s="34"/>
      <c r="AF103" s="34"/>
      <c r="AG103" s="33"/>
      <c r="AH103" s="34"/>
      <c r="AI103" s="34"/>
      <c r="AJ103" s="34"/>
      <c r="AK103" s="33"/>
    </row>
    <row r="104" spans="1:37" ht="15.75" customHeight="1" x14ac:dyDescent="0.3">
      <c r="A104" s="33"/>
      <c r="B104" s="34"/>
      <c r="C104" s="34"/>
      <c r="D104" s="34"/>
      <c r="E104" s="33"/>
      <c r="F104" s="34"/>
      <c r="G104" s="34"/>
      <c r="H104" s="34"/>
      <c r="I104" s="34"/>
      <c r="J104" s="33"/>
      <c r="K104" s="34"/>
      <c r="L104" s="34"/>
      <c r="M104" s="34"/>
      <c r="N104" s="34"/>
      <c r="O104" s="34"/>
      <c r="P104" s="34"/>
      <c r="Q104" s="34"/>
      <c r="R104" s="33"/>
      <c r="S104" s="34"/>
      <c r="T104" s="34"/>
      <c r="U104" s="33"/>
      <c r="V104" s="34"/>
      <c r="W104" s="34"/>
      <c r="X104" s="34"/>
      <c r="Y104" s="33"/>
      <c r="Z104" s="34"/>
      <c r="AA104" s="34"/>
      <c r="AB104" s="34"/>
      <c r="AC104" s="33"/>
      <c r="AD104" s="34"/>
      <c r="AE104" s="34"/>
      <c r="AF104" s="34"/>
      <c r="AG104" s="33"/>
      <c r="AH104" s="34"/>
      <c r="AI104" s="34"/>
      <c r="AJ104" s="34"/>
      <c r="AK104" s="33"/>
    </row>
    <row r="105" spans="1:37" ht="15.75" customHeight="1" x14ac:dyDescent="0.3">
      <c r="A105" s="33"/>
      <c r="B105" s="34"/>
      <c r="C105" s="34"/>
      <c r="D105" s="34"/>
      <c r="E105" s="33"/>
      <c r="F105" s="34"/>
      <c r="G105" s="34"/>
      <c r="H105" s="34"/>
      <c r="I105" s="34"/>
      <c r="J105" s="33"/>
      <c r="K105" s="34"/>
      <c r="L105" s="34"/>
      <c r="M105" s="34"/>
      <c r="N105" s="34"/>
      <c r="O105" s="34"/>
      <c r="P105" s="34"/>
      <c r="Q105" s="34"/>
      <c r="R105" s="33"/>
      <c r="S105" s="34"/>
      <c r="T105" s="34"/>
      <c r="U105" s="33"/>
      <c r="V105" s="34"/>
      <c r="W105" s="34"/>
      <c r="X105" s="34"/>
      <c r="Y105" s="33"/>
      <c r="Z105" s="34"/>
      <c r="AA105" s="34"/>
      <c r="AB105" s="34"/>
      <c r="AC105" s="33"/>
      <c r="AD105" s="34"/>
      <c r="AE105" s="34"/>
      <c r="AF105" s="34"/>
      <c r="AG105" s="33"/>
      <c r="AH105" s="34"/>
      <c r="AI105" s="34"/>
      <c r="AJ105" s="34"/>
      <c r="AK105" s="33"/>
    </row>
    <row r="106" spans="1:37" ht="15.75" customHeight="1" x14ac:dyDescent="0.3">
      <c r="A106" s="33"/>
      <c r="B106" s="34"/>
      <c r="C106" s="34"/>
      <c r="D106" s="34"/>
      <c r="E106" s="33"/>
      <c r="F106" s="34"/>
      <c r="G106" s="34"/>
      <c r="H106" s="34"/>
      <c r="I106" s="34"/>
      <c r="J106" s="33"/>
      <c r="K106" s="34"/>
      <c r="L106" s="34"/>
      <c r="M106" s="34"/>
      <c r="N106" s="34"/>
      <c r="O106" s="34"/>
      <c r="P106" s="34"/>
      <c r="Q106" s="34"/>
      <c r="R106" s="33"/>
      <c r="S106" s="34"/>
      <c r="T106" s="34"/>
      <c r="U106" s="33"/>
      <c r="V106" s="34"/>
      <c r="W106" s="34"/>
      <c r="X106" s="34"/>
      <c r="Y106" s="33"/>
      <c r="Z106" s="34"/>
      <c r="AA106" s="34"/>
      <c r="AB106" s="34"/>
      <c r="AC106" s="33"/>
      <c r="AD106" s="34"/>
      <c r="AE106" s="34"/>
      <c r="AF106" s="34"/>
      <c r="AG106" s="33"/>
      <c r="AH106" s="34"/>
      <c r="AI106" s="34"/>
      <c r="AJ106" s="34"/>
      <c r="AK106" s="33"/>
    </row>
    <row r="107" spans="1:37" ht="15.75" customHeight="1" x14ac:dyDescent="0.3">
      <c r="A107" s="33"/>
      <c r="B107" s="34"/>
      <c r="C107" s="34"/>
      <c r="D107" s="34"/>
      <c r="E107" s="33"/>
      <c r="F107" s="34"/>
      <c r="G107" s="34"/>
      <c r="H107" s="34"/>
      <c r="I107" s="34"/>
      <c r="J107" s="33"/>
      <c r="K107" s="34"/>
      <c r="L107" s="34"/>
      <c r="M107" s="34"/>
      <c r="N107" s="34"/>
      <c r="O107" s="34"/>
      <c r="P107" s="34"/>
      <c r="Q107" s="34"/>
      <c r="R107" s="33"/>
      <c r="S107" s="34"/>
      <c r="T107" s="34"/>
      <c r="U107" s="33"/>
      <c r="V107" s="34"/>
      <c r="W107" s="34"/>
      <c r="X107" s="34"/>
      <c r="Y107" s="33"/>
      <c r="Z107" s="34"/>
      <c r="AA107" s="34"/>
      <c r="AB107" s="34"/>
      <c r="AC107" s="33"/>
      <c r="AD107" s="34"/>
      <c r="AE107" s="34"/>
      <c r="AF107" s="34"/>
      <c r="AG107" s="33"/>
      <c r="AH107" s="34"/>
      <c r="AI107" s="34"/>
      <c r="AJ107" s="34"/>
      <c r="AK107" s="33"/>
    </row>
    <row r="108" spans="1:37" ht="15.75" customHeight="1" x14ac:dyDescent="0.3">
      <c r="A108" s="33"/>
      <c r="B108" s="34"/>
      <c r="C108" s="34"/>
      <c r="D108" s="34"/>
      <c r="E108" s="33"/>
      <c r="F108" s="34"/>
      <c r="G108" s="34"/>
      <c r="H108" s="34"/>
      <c r="I108" s="34"/>
      <c r="J108" s="33"/>
      <c r="K108" s="34"/>
      <c r="L108" s="34"/>
      <c r="M108" s="34"/>
      <c r="N108" s="34"/>
      <c r="O108" s="34"/>
      <c r="P108" s="34"/>
      <c r="Q108" s="34"/>
      <c r="R108" s="33"/>
      <c r="S108" s="34"/>
      <c r="T108" s="34"/>
      <c r="U108" s="33"/>
      <c r="V108" s="34"/>
      <c r="W108" s="34"/>
      <c r="X108" s="34"/>
      <c r="Y108" s="33"/>
      <c r="Z108" s="34"/>
      <c r="AA108" s="34"/>
      <c r="AB108" s="34"/>
      <c r="AC108" s="33"/>
      <c r="AD108" s="34"/>
      <c r="AE108" s="34"/>
      <c r="AF108" s="34"/>
      <c r="AG108" s="33"/>
      <c r="AH108" s="34"/>
      <c r="AI108" s="34"/>
      <c r="AJ108" s="34"/>
      <c r="AK108" s="33"/>
    </row>
    <row r="109" spans="1:37" ht="15.75" customHeight="1" x14ac:dyDescent="0.3">
      <c r="A109" s="33"/>
      <c r="B109" s="34"/>
      <c r="C109" s="34"/>
      <c r="D109" s="34"/>
      <c r="E109" s="33"/>
      <c r="F109" s="34"/>
      <c r="G109" s="34"/>
      <c r="H109" s="34"/>
      <c r="I109" s="34"/>
      <c r="J109" s="33"/>
      <c r="K109" s="34"/>
      <c r="L109" s="34"/>
      <c r="M109" s="34"/>
      <c r="N109" s="34"/>
      <c r="O109" s="34"/>
      <c r="P109" s="34"/>
      <c r="Q109" s="34"/>
      <c r="R109" s="33"/>
      <c r="S109" s="34"/>
      <c r="T109" s="34"/>
      <c r="U109" s="33"/>
      <c r="V109" s="34"/>
      <c r="W109" s="34"/>
      <c r="X109" s="34"/>
      <c r="Y109" s="33"/>
      <c r="Z109" s="34"/>
      <c r="AA109" s="34"/>
      <c r="AB109" s="34"/>
      <c r="AC109" s="33"/>
      <c r="AD109" s="34"/>
      <c r="AE109" s="34"/>
      <c r="AF109" s="34"/>
      <c r="AG109" s="33"/>
      <c r="AH109" s="34"/>
      <c r="AI109" s="34"/>
      <c r="AJ109" s="34"/>
      <c r="AK109" s="33"/>
    </row>
    <row r="110" spans="1:37" ht="15.75" customHeight="1" x14ac:dyDescent="0.3">
      <c r="A110" s="33"/>
      <c r="B110" s="34"/>
      <c r="C110" s="34"/>
      <c r="D110" s="34"/>
      <c r="E110" s="33"/>
      <c r="F110" s="34"/>
      <c r="G110" s="34"/>
      <c r="H110" s="34"/>
      <c r="I110" s="34"/>
      <c r="J110" s="33"/>
      <c r="K110" s="34"/>
      <c r="L110" s="34"/>
      <c r="M110" s="34"/>
      <c r="N110" s="34"/>
      <c r="O110" s="34"/>
      <c r="P110" s="34"/>
      <c r="Q110" s="34"/>
      <c r="R110" s="33"/>
      <c r="S110" s="34"/>
      <c r="T110" s="34"/>
      <c r="U110" s="33"/>
      <c r="V110" s="34"/>
      <c r="W110" s="34"/>
      <c r="X110" s="34"/>
      <c r="Y110" s="33"/>
      <c r="Z110" s="34"/>
      <c r="AA110" s="34"/>
      <c r="AB110" s="34"/>
      <c r="AC110" s="33"/>
      <c r="AD110" s="34"/>
      <c r="AE110" s="34"/>
      <c r="AF110" s="34"/>
      <c r="AG110" s="33"/>
      <c r="AH110" s="34"/>
      <c r="AI110" s="34"/>
      <c r="AJ110" s="34"/>
      <c r="AK110" s="33"/>
    </row>
    <row r="111" spans="1:37" ht="15.75" customHeight="1" x14ac:dyDescent="0.3">
      <c r="A111" s="33"/>
      <c r="B111" s="34"/>
      <c r="C111" s="34"/>
      <c r="D111" s="34"/>
      <c r="E111" s="33"/>
      <c r="F111" s="34"/>
      <c r="G111" s="34"/>
      <c r="H111" s="34"/>
      <c r="I111" s="34"/>
      <c r="J111" s="33"/>
      <c r="K111" s="34"/>
      <c r="L111" s="34"/>
      <c r="M111" s="34"/>
      <c r="N111" s="34"/>
      <c r="O111" s="34"/>
      <c r="P111" s="34"/>
      <c r="Q111" s="34"/>
      <c r="R111" s="33"/>
      <c r="S111" s="34"/>
      <c r="T111" s="34"/>
      <c r="U111" s="33"/>
      <c r="V111" s="34"/>
      <c r="W111" s="34"/>
      <c r="X111" s="34"/>
      <c r="Y111" s="33"/>
      <c r="Z111" s="34"/>
      <c r="AA111" s="34"/>
      <c r="AB111" s="34"/>
      <c r="AC111" s="33"/>
      <c r="AD111" s="34"/>
      <c r="AE111" s="34"/>
      <c r="AF111" s="34"/>
      <c r="AG111" s="33"/>
      <c r="AH111" s="34"/>
      <c r="AI111" s="34"/>
      <c r="AJ111" s="34"/>
      <c r="AK111" s="33"/>
    </row>
    <row r="112" spans="1:37" ht="15.75" customHeight="1" x14ac:dyDescent="0.3">
      <c r="A112" s="33"/>
      <c r="B112" s="34"/>
      <c r="C112" s="34"/>
      <c r="D112" s="34"/>
      <c r="E112" s="33"/>
      <c r="F112" s="34"/>
      <c r="G112" s="34"/>
      <c r="H112" s="34"/>
      <c r="I112" s="34"/>
      <c r="J112" s="33"/>
      <c r="K112" s="34"/>
      <c r="L112" s="34"/>
      <c r="M112" s="34"/>
      <c r="N112" s="34"/>
      <c r="O112" s="34"/>
      <c r="P112" s="34"/>
      <c r="Q112" s="34"/>
      <c r="R112" s="33"/>
      <c r="S112" s="34"/>
      <c r="T112" s="34"/>
      <c r="U112" s="33"/>
      <c r="V112" s="34"/>
      <c r="W112" s="34"/>
      <c r="X112" s="34"/>
      <c r="Y112" s="33"/>
      <c r="Z112" s="34"/>
      <c r="AA112" s="34"/>
      <c r="AB112" s="34"/>
      <c r="AC112" s="33"/>
      <c r="AD112" s="34"/>
      <c r="AE112" s="34"/>
      <c r="AF112" s="34"/>
      <c r="AG112" s="33"/>
      <c r="AH112" s="34"/>
      <c r="AI112" s="34"/>
      <c r="AJ112" s="34"/>
      <c r="AK112" s="33"/>
    </row>
    <row r="113" spans="1:37" ht="15.75" customHeight="1" x14ac:dyDescent="0.3">
      <c r="A113" s="33"/>
      <c r="B113" s="34"/>
      <c r="C113" s="34"/>
      <c r="D113" s="34"/>
      <c r="E113" s="33"/>
      <c r="F113" s="34"/>
      <c r="G113" s="34"/>
      <c r="H113" s="34"/>
      <c r="I113" s="34"/>
      <c r="J113" s="33"/>
      <c r="K113" s="34"/>
      <c r="L113" s="34"/>
      <c r="M113" s="34"/>
      <c r="N113" s="34"/>
      <c r="O113" s="34"/>
      <c r="P113" s="34"/>
      <c r="Q113" s="34"/>
      <c r="R113" s="33"/>
      <c r="S113" s="34"/>
      <c r="T113" s="34"/>
      <c r="U113" s="33"/>
      <c r="V113" s="34"/>
      <c r="W113" s="34"/>
      <c r="X113" s="34"/>
      <c r="Y113" s="33"/>
      <c r="Z113" s="34"/>
      <c r="AA113" s="34"/>
      <c r="AB113" s="34"/>
      <c r="AC113" s="33"/>
      <c r="AD113" s="34"/>
      <c r="AE113" s="34"/>
      <c r="AF113" s="34"/>
      <c r="AG113" s="33"/>
      <c r="AH113" s="34"/>
      <c r="AI113" s="34"/>
      <c r="AJ113" s="34"/>
      <c r="AK113" s="33"/>
    </row>
    <row r="114" spans="1:37" ht="15.75" customHeight="1" x14ac:dyDescent="0.3">
      <c r="A114" s="33"/>
      <c r="B114" s="34"/>
      <c r="C114" s="34"/>
      <c r="D114" s="34"/>
      <c r="E114" s="33"/>
      <c r="F114" s="34"/>
      <c r="G114" s="34"/>
      <c r="H114" s="34"/>
      <c r="I114" s="34"/>
      <c r="J114" s="33"/>
      <c r="K114" s="34"/>
      <c r="L114" s="34"/>
      <c r="M114" s="34"/>
      <c r="N114" s="34"/>
      <c r="O114" s="34"/>
      <c r="P114" s="34"/>
      <c r="Q114" s="34"/>
      <c r="R114" s="33"/>
      <c r="S114" s="34"/>
      <c r="T114" s="34"/>
      <c r="U114" s="33"/>
      <c r="V114" s="34"/>
      <c r="W114" s="34"/>
      <c r="X114" s="34"/>
      <c r="Y114" s="33"/>
      <c r="Z114" s="34"/>
      <c r="AA114" s="34"/>
      <c r="AB114" s="34"/>
      <c r="AC114" s="33"/>
      <c r="AD114" s="34"/>
      <c r="AE114" s="34"/>
      <c r="AF114" s="34"/>
      <c r="AG114" s="33"/>
      <c r="AH114" s="34"/>
      <c r="AI114" s="34"/>
      <c r="AJ114" s="34"/>
      <c r="AK114" s="33"/>
    </row>
    <row r="115" spans="1:37" ht="15.75" customHeight="1" x14ac:dyDescent="0.3">
      <c r="A115" s="33"/>
      <c r="B115" s="34"/>
      <c r="C115" s="34"/>
      <c r="D115" s="34"/>
      <c r="E115" s="33"/>
      <c r="F115" s="34"/>
      <c r="G115" s="34"/>
      <c r="H115" s="34"/>
      <c r="I115" s="34"/>
      <c r="J115" s="33"/>
      <c r="K115" s="34"/>
      <c r="L115" s="34"/>
      <c r="M115" s="34"/>
      <c r="N115" s="34"/>
      <c r="O115" s="34"/>
      <c r="P115" s="34"/>
      <c r="Q115" s="34"/>
      <c r="R115" s="33"/>
      <c r="S115" s="34"/>
      <c r="T115" s="34"/>
      <c r="U115" s="33"/>
      <c r="V115" s="34"/>
      <c r="W115" s="34"/>
      <c r="X115" s="34"/>
      <c r="Y115" s="33"/>
      <c r="Z115" s="34"/>
      <c r="AA115" s="34"/>
      <c r="AB115" s="34"/>
      <c r="AC115" s="33"/>
      <c r="AD115" s="34"/>
      <c r="AE115" s="34"/>
      <c r="AF115" s="34"/>
      <c r="AG115" s="33"/>
      <c r="AH115" s="34"/>
      <c r="AI115" s="34"/>
      <c r="AJ115" s="34"/>
      <c r="AK115" s="33"/>
    </row>
    <row r="116" spans="1:37" ht="15.75" customHeight="1" x14ac:dyDescent="0.3">
      <c r="A116" s="33"/>
      <c r="B116" s="34"/>
      <c r="C116" s="34"/>
      <c r="D116" s="34"/>
      <c r="E116" s="33"/>
      <c r="F116" s="34"/>
      <c r="G116" s="34"/>
      <c r="H116" s="34"/>
      <c r="I116" s="34"/>
      <c r="J116" s="33"/>
      <c r="K116" s="34"/>
      <c r="L116" s="34"/>
      <c r="M116" s="34"/>
      <c r="N116" s="34"/>
      <c r="O116" s="34"/>
      <c r="P116" s="34"/>
      <c r="Q116" s="34"/>
      <c r="R116" s="33"/>
      <c r="S116" s="34"/>
      <c r="T116" s="34"/>
      <c r="U116" s="33"/>
      <c r="V116" s="34"/>
      <c r="W116" s="34"/>
      <c r="X116" s="34"/>
      <c r="Y116" s="33"/>
      <c r="Z116" s="34"/>
      <c r="AA116" s="34"/>
      <c r="AB116" s="34"/>
      <c r="AC116" s="33"/>
      <c r="AD116" s="34"/>
      <c r="AE116" s="34"/>
      <c r="AF116" s="34"/>
      <c r="AG116" s="33"/>
      <c r="AH116" s="34"/>
      <c r="AI116" s="34"/>
      <c r="AJ116" s="34"/>
      <c r="AK116" s="33"/>
    </row>
    <row r="117" spans="1:37" ht="15.75" customHeight="1" x14ac:dyDescent="0.3">
      <c r="A117" s="33"/>
      <c r="B117" s="34"/>
      <c r="C117" s="34"/>
      <c r="D117" s="34"/>
      <c r="E117" s="33"/>
      <c r="F117" s="34"/>
      <c r="G117" s="34"/>
      <c r="H117" s="34"/>
      <c r="I117" s="34"/>
      <c r="J117" s="33"/>
      <c r="K117" s="34"/>
      <c r="L117" s="34"/>
      <c r="M117" s="34"/>
      <c r="N117" s="34"/>
      <c r="O117" s="34"/>
      <c r="P117" s="34"/>
      <c r="Q117" s="34"/>
      <c r="R117" s="33"/>
      <c r="S117" s="34"/>
      <c r="T117" s="34"/>
      <c r="U117" s="33"/>
      <c r="V117" s="34"/>
      <c r="W117" s="34"/>
      <c r="X117" s="34"/>
      <c r="Y117" s="33"/>
      <c r="Z117" s="34"/>
      <c r="AA117" s="34"/>
      <c r="AB117" s="34"/>
      <c r="AC117" s="33"/>
      <c r="AD117" s="34"/>
      <c r="AE117" s="34"/>
      <c r="AF117" s="34"/>
      <c r="AG117" s="33"/>
      <c r="AH117" s="34"/>
      <c r="AI117" s="34"/>
      <c r="AJ117" s="34"/>
      <c r="AK117" s="33"/>
    </row>
    <row r="118" spans="1:37" ht="15.75" customHeight="1" x14ac:dyDescent="0.3">
      <c r="A118" s="33"/>
      <c r="B118" s="34"/>
      <c r="C118" s="34"/>
      <c r="D118" s="34"/>
      <c r="E118" s="33"/>
      <c r="F118" s="34"/>
      <c r="G118" s="34"/>
      <c r="H118" s="34"/>
      <c r="I118" s="34"/>
      <c r="J118" s="33"/>
      <c r="K118" s="34"/>
      <c r="L118" s="34"/>
      <c r="M118" s="34"/>
      <c r="N118" s="34"/>
      <c r="O118" s="34"/>
      <c r="P118" s="34"/>
      <c r="Q118" s="34"/>
      <c r="R118" s="33"/>
      <c r="S118" s="34"/>
      <c r="T118" s="34"/>
      <c r="U118" s="33"/>
      <c r="V118" s="34"/>
      <c r="W118" s="34"/>
      <c r="X118" s="34"/>
      <c r="Y118" s="33"/>
      <c r="Z118" s="34"/>
      <c r="AA118" s="34"/>
      <c r="AB118" s="34"/>
      <c r="AC118" s="33"/>
      <c r="AD118" s="34"/>
      <c r="AE118" s="34"/>
      <c r="AF118" s="34"/>
      <c r="AG118" s="33"/>
      <c r="AH118" s="34"/>
      <c r="AI118" s="34"/>
      <c r="AJ118" s="34"/>
      <c r="AK118" s="33"/>
    </row>
    <row r="119" spans="1:37" ht="15.75" customHeight="1" x14ac:dyDescent="0.3">
      <c r="A119" s="33"/>
      <c r="B119" s="34"/>
      <c r="C119" s="34"/>
      <c r="D119" s="34"/>
      <c r="E119" s="33"/>
      <c r="F119" s="34"/>
      <c r="G119" s="34"/>
      <c r="H119" s="34"/>
      <c r="I119" s="34"/>
      <c r="J119" s="33"/>
      <c r="K119" s="34"/>
      <c r="L119" s="34"/>
      <c r="M119" s="34"/>
      <c r="N119" s="34"/>
      <c r="O119" s="34"/>
      <c r="P119" s="34"/>
      <c r="Q119" s="34"/>
      <c r="R119" s="33"/>
      <c r="S119" s="34"/>
      <c r="T119" s="34"/>
      <c r="U119" s="33"/>
      <c r="V119" s="34"/>
      <c r="W119" s="34"/>
      <c r="X119" s="34"/>
      <c r="Y119" s="33"/>
      <c r="Z119" s="34"/>
      <c r="AA119" s="34"/>
      <c r="AB119" s="34"/>
      <c r="AC119" s="33"/>
      <c r="AD119" s="34"/>
      <c r="AE119" s="34"/>
      <c r="AF119" s="34"/>
      <c r="AG119" s="33"/>
      <c r="AH119" s="34"/>
      <c r="AI119" s="34"/>
      <c r="AJ119" s="34"/>
      <c r="AK119" s="33"/>
    </row>
    <row r="120" spans="1:37" ht="15.75" customHeight="1" x14ac:dyDescent="0.3">
      <c r="A120" s="33"/>
      <c r="B120" s="34"/>
      <c r="C120" s="34"/>
      <c r="D120" s="34"/>
      <c r="E120" s="33"/>
      <c r="F120" s="34"/>
      <c r="G120" s="34"/>
      <c r="H120" s="34"/>
      <c r="I120" s="34"/>
      <c r="J120" s="33"/>
      <c r="K120" s="34"/>
      <c r="L120" s="34"/>
      <c r="M120" s="34"/>
      <c r="N120" s="34"/>
      <c r="O120" s="34"/>
      <c r="P120" s="34"/>
      <c r="Q120" s="34"/>
      <c r="R120" s="33"/>
      <c r="S120" s="34"/>
      <c r="T120" s="34"/>
      <c r="U120" s="33"/>
      <c r="V120" s="34"/>
      <c r="W120" s="34"/>
      <c r="X120" s="34"/>
      <c r="Y120" s="33"/>
      <c r="Z120" s="34"/>
      <c r="AA120" s="34"/>
      <c r="AB120" s="34"/>
      <c r="AC120" s="33"/>
      <c r="AD120" s="34"/>
      <c r="AE120" s="34"/>
      <c r="AF120" s="34"/>
      <c r="AG120" s="33"/>
      <c r="AH120" s="34"/>
      <c r="AI120" s="34"/>
      <c r="AJ120" s="34"/>
      <c r="AK120" s="33"/>
    </row>
    <row r="121" spans="1:37" ht="15.75" customHeight="1" x14ac:dyDescent="0.3">
      <c r="A121" s="33"/>
      <c r="B121" s="34"/>
      <c r="C121" s="34"/>
      <c r="D121" s="34"/>
      <c r="E121" s="33"/>
      <c r="F121" s="34"/>
      <c r="G121" s="34"/>
      <c r="H121" s="34"/>
      <c r="I121" s="34"/>
      <c r="J121" s="33"/>
      <c r="K121" s="34"/>
      <c r="L121" s="34"/>
      <c r="M121" s="34"/>
      <c r="N121" s="34"/>
      <c r="O121" s="34"/>
      <c r="P121" s="34"/>
      <c r="Q121" s="34"/>
      <c r="R121" s="33"/>
      <c r="S121" s="34"/>
      <c r="T121" s="34"/>
      <c r="U121" s="33"/>
      <c r="V121" s="34"/>
      <c r="W121" s="34"/>
      <c r="X121" s="34"/>
      <c r="Y121" s="33"/>
      <c r="Z121" s="34"/>
      <c r="AA121" s="34"/>
      <c r="AB121" s="34"/>
      <c r="AC121" s="33"/>
      <c r="AD121" s="34"/>
      <c r="AE121" s="34"/>
      <c r="AF121" s="34"/>
      <c r="AG121" s="33"/>
      <c r="AH121" s="34"/>
      <c r="AI121" s="34"/>
      <c r="AJ121" s="34"/>
      <c r="AK121" s="33"/>
    </row>
    <row r="122" spans="1:37" ht="15.75" customHeight="1" x14ac:dyDescent="0.3">
      <c r="A122" s="33"/>
      <c r="B122" s="34"/>
      <c r="C122" s="34"/>
      <c r="D122" s="34"/>
      <c r="E122" s="33"/>
      <c r="F122" s="34"/>
      <c r="G122" s="34"/>
      <c r="H122" s="34"/>
      <c r="I122" s="34"/>
      <c r="J122" s="33"/>
      <c r="K122" s="34"/>
      <c r="L122" s="34"/>
      <c r="M122" s="34"/>
      <c r="N122" s="34"/>
      <c r="O122" s="34"/>
      <c r="P122" s="34"/>
      <c r="Q122" s="34"/>
      <c r="R122" s="33"/>
      <c r="S122" s="34"/>
      <c r="T122" s="34"/>
      <c r="U122" s="33"/>
      <c r="V122" s="34"/>
      <c r="W122" s="34"/>
      <c r="X122" s="34"/>
      <c r="Y122" s="33"/>
      <c r="Z122" s="34"/>
      <c r="AA122" s="34"/>
      <c r="AB122" s="34"/>
      <c r="AC122" s="33"/>
      <c r="AD122" s="34"/>
      <c r="AE122" s="34"/>
      <c r="AF122" s="34"/>
      <c r="AG122" s="33"/>
      <c r="AH122" s="34"/>
      <c r="AI122" s="34"/>
      <c r="AJ122" s="34"/>
      <c r="AK122" s="33"/>
    </row>
    <row r="123" spans="1:37" ht="15.75" customHeight="1" x14ac:dyDescent="0.3">
      <c r="A123" s="33"/>
      <c r="B123" s="34"/>
      <c r="C123" s="34"/>
      <c r="D123" s="34"/>
      <c r="E123" s="33"/>
      <c r="F123" s="34"/>
      <c r="G123" s="34"/>
      <c r="H123" s="34"/>
      <c r="I123" s="34"/>
      <c r="J123" s="33"/>
      <c r="K123" s="34"/>
      <c r="L123" s="34"/>
      <c r="M123" s="34"/>
      <c r="N123" s="34"/>
      <c r="O123" s="34"/>
      <c r="P123" s="34"/>
      <c r="Q123" s="34"/>
      <c r="R123" s="33"/>
      <c r="S123" s="34"/>
      <c r="T123" s="34"/>
      <c r="U123" s="33"/>
      <c r="V123" s="34"/>
      <c r="W123" s="34"/>
      <c r="X123" s="34"/>
      <c r="Y123" s="33"/>
      <c r="Z123" s="34"/>
      <c r="AA123" s="34"/>
      <c r="AB123" s="34"/>
      <c r="AC123" s="33"/>
      <c r="AD123" s="34"/>
      <c r="AE123" s="34"/>
      <c r="AF123" s="34"/>
      <c r="AG123" s="33"/>
      <c r="AH123" s="34"/>
      <c r="AI123" s="34"/>
      <c r="AJ123" s="34"/>
      <c r="AK123" s="33"/>
    </row>
    <row r="124" spans="1:37" ht="15.75" customHeight="1" x14ac:dyDescent="0.3">
      <c r="A124" s="33"/>
      <c r="B124" s="34"/>
      <c r="C124" s="34"/>
      <c r="D124" s="34"/>
      <c r="E124" s="33"/>
      <c r="F124" s="34"/>
      <c r="G124" s="34"/>
      <c r="H124" s="34"/>
      <c r="I124" s="34"/>
      <c r="J124" s="33"/>
      <c r="K124" s="34"/>
      <c r="L124" s="34"/>
      <c r="M124" s="34"/>
      <c r="N124" s="34"/>
      <c r="O124" s="34"/>
      <c r="P124" s="34"/>
      <c r="Q124" s="34"/>
      <c r="R124" s="33"/>
      <c r="S124" s="34"/>
      <c r="T124" s="34"/>
      <c r="U124" s="33"/>
      <c r="V124" s="34"/>
      <c r="W124" s="34"/>
      <c r="X124" s="34"/>
      <c r="Y124" s="33"/>
      <c r="Z124" s="34"/>
      <c r="AA124" s="34"/>
      <c r="AB124" s="34"/>
      <c r="AC124" s="33"/>
      <c r="AD124" s="34"/>
      <c r="AE124" s="34"/>
      <c r="AF124" s="34"/>
      <c r="AG124" s="33"/>
      <c r="AH124" s="34"/>
      <c r="AI124" s="34"/>
      <c r="AJ124" s="34"/>
      <c r="AK124" s="33"/>
    </row>
    <row r="125" spans="1:37" ht="15.75" customHeight="1" x14ac:dyDescent="0.3">
      <c r="A125" s="33"/>
      <c r="B125" s="34"/>
      <c r="C125" s="34"/>
      <c r="D125" s="34"/>
      <c r="E125" s="33"/>
      <c r="F125" s="34"/>
      <c r="G125" s="34"/>
      <c r="H125" s="34"/>
      <c r="I125" s="34"/>
      <c r="J125" s="33"/>
      <c r="K125" s="34"/>
      <c r="L125" s="34"/>
      <c r="M125" s="34"/>
      <c r="N125" s="34"/>
      <c r="O125" s="34"/>
      <c r="P125" s="34"/>
      <c r="Q125" s="34"/>
      <c r="R125" s="33"/>
      <c r="S125" s="34"/>
      <c r="T125" s="34"/>
      <c r="U125" s="33"/>
      <c r="V125" s="34"/>
      <c r="W125" s="34"/>
      <c r="X125" s="34"/>
      <c r="Y125" s="33"/>
      <c r="Z125" s="34"/>
      <c r="AA125" s="34"/>
      <c r="AB125" s="34"/>
      <c r="AC125" s="33"/>
      <c r="AD125" s="34"/>
      <c r="AE125" s="34"/>
      <c r="AF125" s="34"/>
      <c r="AG125" s="33"/>
      <c r="AH125" s="34"/>
      <c r="AI125" s="34"/>
      <c r="AJ125" s="34"/>
      <c r="AK125" s="33"/>
    </row>
    <row r="126" spans="1:37" ht="15.75" customHeight="1" x14ac:dyDescent="0.3">
      <c r="A126" s="33"/>
      <c r="B126" s="34"/>
      <c r="C126" s="34"/>
      <c r="D126" s="34"/>
      <c r="E126" s="33"/>
      <c r="F126" s="34"/>
      <c r="G126" s="34"/>
      <c r="H126" s="34"/>
      <c r="I126" s="34"/>
      <c r="J126" s="33"/>
      <c r="K126" s="34"/>
      <c r="L126" s="34"/>
      <c r="M126" s="34"/>
      <c r="N126" s="34"/>
      <c r="O126" s="34"/>
      <c r="P126" s="34"/>
      <c r="Q126" s="34"/>
      <c r="R126" s="33"/>
      <c r="S126" s="34"/>
      <c r="T126" s="34"/>
      <c r="U126" s="33"/>
      <c r="V126" s="34"/>
      <c r="W126" s="34"/>
      <c r="X126" s="34"/>
      <c r="Y126" s="33"/>
      <c r="Z126" s="34"/>
      <c r="AA126" s="34"/>
      <c r="AB126" s="34"/>
      <c r="AC126" s="33"/>
      <c r="AD126" s="34"/>
      <c r="AE126" s="34"/>
      <c r="AF126" s="34"/>
      <c r="AG126" s="33"/>
      <c r="AH126" s="34"/>
      <c r="AI126" s="34"/>
      <c r="AJ126" s="34"/>
      <c r="AK126" s="33"/>
    </row>
    <row r="127" spans="1:37" ht="15.75" customHeight="1" x14ac:dyDescent="0.3">
      <c r="A127" s="33"/>
      <c r="B127" s="34"/>
      <c r="C127" s="34"/>
      <c r="D127" s="34"/>
      <c r="E127" s="33"/>
      <c r="F127" s="34"/>
      <c r="G127" s="34"/>
      <c r="H127" s="34"/>
      <c r="I127" s="34"/>
      <c r="J127" s="33"/>
      <c r="K127" s="34"/>
      <c r="L127" s="34"/>
      <c r="M127" s="34"/>
      <c r="N127" s="34"/>
      <c r="O127" s="34"/>
      <c r="P127" s="34"/>
      <c r="Q127" s="34"/>
      <c r="R127" s="33"/>
      <c r="S127" s="34"/>
      <c r="T127" s="34"/>
      <c r="U127" s="33"/>
      <c r="V127" s="34"/>
      <c r="W127" s="34"/>
      <c r="X127" s="34"/>
      <c r="Y127" s="33"/>
      <c r="Z127" s="34"/>
      <c r="AA127" s="34"/>
      <c r="AB127" s="34"/>
      <c r="AC127" s="33"/>
      <c r="AD127" s="34"/>
      <c r="AE127" s="34"/>
      <c r="AF127" s="34"/>
      <c r="AG127" s="33"/>
      <c r="AH127" s="34"/>
      <c r="AI127" s="34"/>
      <c r="AJ127" s="34"/>
      <c r="AK127" s="33"/>
    </row>
    <row r="128" spans="1:37" ht="15.75" customHeight="1" x14ac:dyDescent="0.3">
      <c r="A128" s="33"/>
      <c r="B128" s="34"/>
      <c r="C128" s="34"/>
      <c r="D128" s="34"/>
      <c r="E128" s="33"/>
      <c r="F128" s="34"/>
      <c r="G128" s="34"/>
      <c r="H128" s="34"/>
      <c r="I128" s="34"/>
      <c r="J128" s="33"/>
      <c r="K128" s="34"/>
      <c r="L128" s="34"/>
      <c r="M128" s="34"/>
      <c r="N128" s="34"/>
      <c r="O128" s="34"/>
      <c r="P128" s="34"/>
      <c r="Q128" s="34"/>
      <c r="R128" s="33"/>
      <c r="S128" s="34"/>
      <c r="T128" s="34"/>
      <c r="U128" s="33"/>
      <c r="V128" s="34"/>
      <c r="W128" s="34"/>
      <c r="X128" s="34"/>
      <c r="Y128" s="33"/>
      <c r="Z128" s="34"/>
      <c r="AA128" s="34"/>
      <c r="AB128" s="34"/>
      <c r="AC128" s="33"/>
      <c r="AD128" s="34"/>
      <c r="AE128" s="34"/>
      <c r="AF128" s="34"/>
      <c r="AG128" s="33"/>
      <c r="AH128" s="34"/>
      <c r="AI128" s="34"/>
      <c r="AJ128" s="34"/>
      <c r="AK128" s="33"/>
    </row>
    <row r="129" spans="1:37" ht="15.75" customHeight="1" x14ac:dyDescent="0.3">
      <c r="A129" s="33"/>
      <c r="B129" s="34"/>
      <c r="C129" s="34"/>
      <c r="D129" s="34"/>
      <c r="E129" s="33"/>
      <c r="F129" s="34"/>
      <c r="G129" s="34"/>
      <c r="H129" s="34"/>
      <c r="I129" s="34"/>
      <c r="J129" s="33"/>
      <c r="K129" s="34"/>
      <c r="L129" s="34"/>
      <c r="M129" s="34"/>
      <c r="N129" s="34"/>
      <c r="O129" s="34"/>
      <c r="P129" s="34"/>
      <c r="Q129" s="34"/>
      <c r="R129" s="33"/>
      <c r="S129" s="34"/>
      <c r="T129" s="34"/>
      <c r="U129" s="33"/>
      <c r="V129" s="34"/>
      <c r="W129" s="34"/>
      <c r="X129" s="34"/>
      <c r="Y129" s="33"/>
      <c r="Z129" s="34"/>
      <c r="AA129" s="34"/>
      <c r="AB129" s="34"/>
      <c r="AC129" s="33"/>
      <c r="AD129" s="34"/>
      <c r="AE129" s="34"/>
      <c r="AF129" s="34"/>
      <c r="AG129" s="33"/>
      <c r="AH129" s="34"/>
      <c r="AI129" s="34"/>
      <c r="AJ129" s="34"/>
      <c r="AK129" s="33"/>
    </row>
    <row r="130" spans="1:37" ht="15.75" customHeight="1" x14ac:dyDescent="0.3">
      <c r="A130" s="33"/>
      <c r="B130" s="34"/>
      <c r="C130" s="34"/>
      <c r="D130" s="34"/>
      <c r="E130" s="33"/>
      <c r="F130" s="34"/>
      <c r="G130" s="34"/>
      <c r="H130" s="34"/>
      <c r="I130" s="34"/>
      <c r="J130" s="33"/>
      <c r="K130" s="34"/>
      <c r="L130" s="34"/>
      <c r="M130" s="34"/>
      <c r="N130" s="34"/>
      <c r="O130" s="34"/>
      <c r="P130" s="34"/>
      <c r="Q130" s="34"/>
      <c r="R130" s="33"/>
      <c r="S130" s="34"/>
      <c r="T130" s="34"/>
      <c r="U130" s="33"/>
      <c r="V130" s="34"/>
      <c r="W130" s="34"/>
      <c r="X130" s="34"/>
      <c r="Y130" s="33"/>
      <c r="Z130" s="34"/>
      <c r="AA130" s="34"/>
      <c r="AB130" s="34"/>
      <c r="AC130" s="33"/>
      <c r="AD130" s="34"/>
      <c r="AE130" s="34"/>
      <c r="AF130" s="34"/>
      <c r="AG130" s="33"/>
      <c r="AH130" s="34"/>
      <c r="AI130" s="34"/>
      <c r="AJ130" s="34"/>
      <c r="AK130" s="33"/>
    </row>
    <row r="131" spans="1:37" ht="15.75" customHeight="1" x14ac:dyDescent="0.3">
      <c r="A131" s="33"/>
      <c r="B131" s="34"/>
      <c r="C131" s="34"/>
      <c r="D131" s="34"/>
      <c r="E131" s="33"/>
      <c r="F131" s="34"/>
      <c r="G131" s="34"/>
      <c r="H131" s="34"/>
      <c r="I131" s="34"/>
      <c r="J131" s="33"/>
      <c r="K131" s="34"/>
      <c r="L131" s="34"/>
      <c r="M131" s="34"/>
      <c r="N131" s="34"/>
      <c r="O131" s="34"/>
      <c r="P131" s="34"/>
      <c r="Q131" s="34"/>
      <c r="R131" s="33"/>
      <c r="S131" s="34"/>
      <c r="T131" s="34"/>
      <c r="U131" s="33"/>
      <c r="V131" s="34"/>
      <c r="W131" s="34"/>
      <c r="X131" s="34"/>
      <c r="Y131" s="33"/>
      <c r="Z131" s="34"/>
      <c r="AA131" s="34"/>
      <c r="AB131" s="34"/>
      <c r="AC131" s="33"/>
      <c r="AD131" s="34"/>
      <c r="AE131" s="34"/>
      <c r="AF131" s="34"/>
      <c r="AG131" s="33"/>
      <c r="AH131" s="34"/>
      <c r="AI131" s="34"/>
      <c r="AJ131" s="34"/>
      <c r="AK131" s="33"/>
    </row>
    <row r="132" spans="1:37" ht="15.75" customHeight="1" x14ac:dyDescent="0.3">
      <c r="A132" s="33"/>
      <c r="B132" s="34"/>
      <c r="C132" s="34"/>
      <c r="D132" s="34"/>
      <c r="E132" s="33"/>
      <c r="F132" s="34"/>
      <c r="G132" s="34"/>
      <c r="H132" s="34"/>
      <c r="I132" s="34"/>
      <c r="J132" s="33"/>
      <c r="K132" s="34"/>
      <c r="L132" s="34"/>
      <c r="M132" s="34"/>
      <c r="N132" s="34"/>
      <c r="O132" s="34"/>
      <c r="P132" s="34"/>
      <c r="Q132" s="34"/>
      <c r="R132" s="33"/>
      <c r="S132" s="34"/>
      <c r="T132" s="34"/>
      <c r="U132" s="33"/>
      <c r="V132" s="34"/>
      <c r="W132" s="34"/>
      <c r="X132" s="34"/>
      <c r="Y132" s="33"/>
      <c r="Z132" s="34"/>
      <c r="AA132" s="34"/>
      <c r="AB132" s="34"/>
      <c r="AC132" s="33"/>
      <c r="AD132" s="34"/>
      <c r="AE132" s="34"/>
      <c r="AF132" s="34"/>
      <c r="AG132" s="33"/>
      <c r="AH132" s="34"/>
      <c r="AI132" s="34"/>
      <c r="AJ132" s="34"/>
      <c r="AK132" s="33"/>
    </row>
    <row r="133" spans="1:37" ht="15.75" customHeight="1" x14ac:dyDescent="0.3">
      <c r="A133" s="33"/>
      <c r="B133" s="34"/>
      <c r="C133" s="34"/>
      <c r="D133" s="34"/>
      <c r="E133" s="33"/>
      <c r="F133" s="34"/>
      <c r="G133" s="34"/>
      <c r="H133" s="34"/>
      <c r="I133" s="34"/>
      <c r="J133" s="33"/>
      <c r="K133" s="34"/>
      <c r="L133" s="34"/>
      <c r="M133" s="34"/>
      <c r="N133" s="34"/>
      <c r="O133" s="34"/>
      <c r="P133" s="34"/>
      <c r="Q133" s="34"/>
      <c r="R133" s="33"/>
      <c r="S133" s="34"/>
      <c r="T133" s="34"/>
      <c r="U133" s="33"/>
      <c r="V133" s="34"/>
      <c r="W133" s="34"/>
      <c r="X133" s="34"/>
      <c r="Y133" s="33"/>
      <c r="Z133" s="34"/>
      <c r="AA133" s="34"/>
      <c r="AB133" s="34"/>
      <c r="AC133" s="33"/>
      <c r="AD133" s="34"/>
      <c r="AE133" s="34"/>
      <c r="AF133" s="34"/>
      <c r="AG133" s="33"/>
      <c r="AH133" s="34"/>
      <c r="AI133" s="34"/>
      <c r="AJ133" s="34"/>
      <c r="AK133" s="33"/>
    </row>
    <row r="134" spans="1:37" ht="15.75" customHeight="1" x14ac:dyDescent="0.3">
      <c r="A134" s="33"/>
      <c r="B134" s="34"/>
      <c r="C134" s="34"/>
      <c r="D134" s="34"/>
      <c r="E134" s="33"/>
      <c r="F134" s="34"/>
      <c r="G134" s="34"/>
      <c r="H134" s="34"/>
      <c r="I134" s="34"/>
      <c r="J134" s="33"/>
      <c r="K134" s="34"/>
      <c r="L134" s="34"/>
      <c r="M134" s="34"/>
      <c r="N134" s="34"/>
      <c r="O134" s="34"/>
      <c r="P134" s="34"/>
      <c r="Q134" s="34"/>
      <c r="R134" s="33"/>
      <c r="S134" s="34"/>
      <c r="T134" s="34"/>
      <c r="U134" s="33"/>
      <c r="V134" s="34"/>
      <c r="W134" s="34"/>
      <c r="X134" s="34"/>
      <c r="Y134" s="33"/>
      <c r="Z134" s="34"/>
      <c r="AA134" s="34"/>
      <c r="AB134" s="34"/>
      <c r="AC134" s="33"/>
      <c r="AD134" s="34"/>
      <c r="AE134" s="34"/>
      <c r="AF134" s="34"/>
      <c r="AG134" s="33"/>
      <c r="AH134" s="34"/>
      <c r="AI134" s="34"/>
      <c r="AJ134" s="34"/>
      <c r="AK134" s="33"/>
    </row>
    <row r="135" spans="1:37" ht="15.75" customHeight="1" x14ac:dyDescent="0.3">
      <c r="A135" s="33"/>
      <c r="B135" s="34"/>
      <c r="C135" s="34"/>
      <c r="D135" s="34"/>
      <c r="E135" s="33"/>
      <c r="F135" s="34"/>
      <c r="G135" s="34"/>
      <c r="H135" s="34"/>
      <c r="I135" s="34"/>
      <c r="J135" s="33"/>
      <c r="K135" s="34"/>
      <c r="L135" s="34"/>
      <c r="M135" s="34"/>
      <c r="N135" s="34"/>
      <c r="O135" s="34"/>
      <c r="P135" s="34"/>
      <c r="Q135" s="34"/>
      <c r="R135" s="33"/>
      <c r="S135" s="34"/>
      <c r="T135" s="34"/>
      <c r="U135" s="33"/>
      <c r="V135" s="34"/>
      <c r="W135" s="34"/>
      <c r="X135" s="34"/>
      <c r="Y135" s="33"/>
      <c r="Z135" s="34"/>
      <c r="AA135" s="34"/>
      <c r="AB135" s="34"/>
      <c r="AC135" s="33"/>
      <c r="AD135" s="34"/>
      <c r="AE135" s="34"/>
      <c r="AF135" s="34"/>
      <c r="AG135" s="33"/>
      <c r="AH135" s="34"/>
      <c r="AI135" s="34"/>
      <c r="AJ135" s="34"/>
      <c r="AK135" s="33"/>
    </row>
    <row r="136" spans="1:37" ht="15.75" customHeight="1" x14ac:dyDescent="0.3">
      <c r="A136" s="33"/>
      <c r="B136" s="34"/>
      <c r="C136" s="34"/>
      <c r="D136" s="34"/>
      <c r="E136" s="33"/>
      <c r="F136" s="34"/>
      <c r="G136" s="34"/>
      <c r="H136" s="34"/>
      <c r="I136" s="34"/>
      <c r="J136" s="33"/>
      <c r="K136" s="34"/>
      <c r="L136" s="34"/>
      <c r="M136" s="34"/>
      <c r="N136" s="34"/>
      <c r="O136" s="34"/>
      <c r="P136" s="34"/>
      <c r="Q136" s="34"/>
      <c r="R136" s="33"/>
      <c r="S136" s="34"/>
      <c r="T136" s="34"/>
      <c r="U136" s="33"/>
      <c r="V136" s="34"/>
      <c r="W136" s="34"/>
      <c r="X136" s="34"/>
      <c r="Y136" s="33"/>
      <c r="Z136" s="34"/>
      <c r="AA136" s="34"/>
      <c r="AB136" s="34"/>
      <c r="AC136" s="33"/>
      <c r="AD136" s="34"/>
      <c r="AE136" s="34"/>
      <c r="AF136" s="34"/>
      <c r="AG136" s="33"/>
      <c r="AH136" s="34"/>
      <c r="AI136" s="34"/>
      <c r="AJ136" s="34"/>
      <c r="AK136" s="33"/>
    </row>
    <row r="137" spans="1:37" ht="15.75" customHeight="1" x14ac:dyDescent="0.3">
      <c r="A137" s="33"/>
      <c r="B137" s="34"/>
      <c r="C137" s="34"/>
      <c r="D137" s="34"/>
      <c r="E137" s="33"/>
      <c r="F137" s="34"/>
      <c r="G137" s="34"/>
      <c r="H137" s="34"/>
      <c r="I137" s="34"/>
      <c r="J137" s="33"/>
      <c r="K137" s="34"/>
      <c r="L137" s="34"/>
      <c r="M137" s="34"/>
      <c r="N137" s="34"/>
      <c r="O137" s="34"/>
      <c r="P137" s="34"/>
      <c r="Q137" s="34"/>
      <c r="R137" s="33"/>
      <c r="S137" s="34"/>
      <c r="T137" s="34"/>
      <c r="U137" s="33"/>
      <c r="V137" s="34"/>
      <c r="W137" s="34"/>
      <c r="X137" s="34"/>
      <c r="Y137" s="33"/>
      <c r="Z137" s="34"/>
      <c r="AA137" s="34"/>
      <c r="AB137" s="34"/>
      <c r="AC137" s="33"/>
      <c r="AD137" s="34"/>
      <c r="AE137" s="34"/>
      <c r="AF137" s="34"/>
      <c r="AG137" s="33"/>
      <c r="AH137" s="34"/>
      <c r="AI137" s="34"/>
      <c r="AJ137" s="34"/>
      <c r="AK137" s="33"/>
    </row>
    <row r="138" spans="1:37" ht="15.75" customHeight="1" x14ac:dyDescent="0.3">
      <c r="A138" s="33"/>
      <c r="B138" s="34"/>
      <c r="C138" s="34"/>
      <c r="D138" s="34"/>
      <c r="E138" s="33"/>
      <c r="F138" s="34"/>
      <c r="G138" s="34"/>
      <c r="H138" s="34"/>
      <c r="I138" s="34"/>
      <c r="J138" s="33"/>
      <c r="K138" s="34"/>
      <c r="L138" s="34"/>
      <c r="M138" s="34"/>
      <c r="N138" s="34"/>
      <c r="O138" s="34"/>
      <c r="P138" s="34"/>
      <c r="Q138" s="34"/>
      <c r="R138" s="33"/>
      <c r="S138" s="34"/>
      <c r="T138" s="34"/>
      <c r="U138" s="33"/>
      <c r="V138" s="34"/>
      <c r="W138" s="34"/>
      <c r="X138" s="34"/>
      <c r="Y138" s="33"/>
      <c r="Z138" s="34"/>
      <c r="AA138" s="34"/>
      <c r="AB138" s="34"/>
      <c r="AC138" s="33"/>
      <c r="AD138" s="34"/>
      <c r="AE138" s="34"/>
      <c r="AF138" s="34"/>
      <c r="AG138" s="33"/>
      <c r="AH138" s="34"/>
      <c r="AI138" s="34"/>
      <c r="AJ138" s="34"/>
      <c r="AK138" s="33"/>
    </row>
    <row r="139" spans="1:37" ht="15.75" customHeight="1" x14ac:dyDescent="0.3">
      <c r="A139" s="33"/>
      <c r="B139" s="34"/>
      <c r="C139" s="34"/>
      <c r="D139" s="34"/>
      <c r="E139" s="33"/>
      <c r="F139" s="34"/>
      <c r="G139" s="34"/>
      <c r="H139" s="34"/>
      <c r="I139" s="34"/>
      <c r="J139" s="33"/>
      <c r="K139" s="34"/>
      <c r="L139" s="34"/>
      <c r="M139" s="34"/>
      <c r="N139" s="34"/>
      <c r="O139" s="34"/>
      <c r="P139" s="34"/>
      <c r="Q139" s="34"/>
      <c r="R139" s="33"/>
      <c r="S139" s="34"/>
      <c r="T139" s="34"/>
      <c r="U139" s="33"/>
      <c r="V139" s="34"/>
      <c r="W139" s="34"/>
      <c r="X139" s="34"/>
      <c r="Y139" s="33"/>
      <c r="Z139" s="34"/>
      <c r="AA139" s="34"/>
      <c r="AB139" s="34"/>
      <c r="AC139" s="33"/>
      <c r="AD139" s="34"/>
      <c r="AE139" s="34"/>
      <c r="AF139" s="34"/>
      <c r="AG139" s="33"/>
      <c r="AH139" s="34"/>
      <c r="AI139" s="34"/>
      <c r="AJ139" s="34"/>
      <c r="AK139" s="33"/>
    </row>
    <row r="140" spans="1:37" ht="15.75" customHeight="1" x14ac:dyDescent="0.3">
      <c r="A140" s="33"/>
      <c r="B140" s="34"/>
      <c r="C140" s="34"/>
      <c r="D140" s="34"/>
      <c r="E140" s="33"/>
      <c r="F140" s="34"/>
      <c r="G140" s="34"/>
      <c r="H140" s="34"/>
      <c r="I140" s="34"/>
      <c r="J140" s="33"/>
      <c r="K140" s="34"/>
      <c r="L140" s="34"/>
      <c r="M140" s="34"/>
      <c r="N140" s="34"/>
      <c r="O140" s="34"/>
      <c r="P140" s="34"/>
      <c r="Q140" s="34"/>
      <c r="R140" s="33"/>
      <c r="S140" s="34"/>
      <c r="T140" s="34"/>
      <c r="U140" s="33"/>
      <c r="V140" s="34"/>
      <c r="W140" s="34"/>
      <c r="X140" s="34"/>
      <c r="Y140" s="33"/>
      <c r="Z140" s="34"/>
      <c r="AA140" s="34"/>
      <c r="AB140" s="34"/>
      <c r="AC140" s="33"/>
      <c r="AD140" s="34"/>
      <c r="AE140" s="34"/>
      <c r="AF140" s="34"/>
      <c r="AG140" s="33"/>
      <c r="AH140" s="34"/>
      <c r="AI140" s="34"/>
      <c r="AJ140" s="34"/>
      <c r="AK140" s="33"/>
    </row>
    <row r="141" spans="1:37" ht="15.75" customHeight="1" x14ac:dyDescent="0.3">
      <c r="A141" s="33"/>
      <c r="B141" s="34"/>
      <c r="C141" s="34"/>
      <c r="D141" s="34"/>
      <c r="E141" s="33"/>
      <c r="F141" s="34"/>
      <c r="G141" s="34"/>
      <c r="H141" s="34"/>
      <c r="I141" s="34"/>
      <c r="J141" s="33"/>
      <c r="K141" s="34"/>
      <c r="L141" s="34"/>
      <c r="M141" s="34"/>
      <c r="N141" s="34"/>
      <c r="O141" s="34"/>
      <c r="P141" s="34"/>
      <c r="Q141" s="34"/>
      <c r="R141" s="33"/>
      <c r="S141" s="34"/>
      <c r="T141" s="34"/>
      <c r="U141" s="33"/>
      <c r="V141" s="34"/>
      <c r="W141" s="34"/>
      <c r="X141" s="34"/>
      <c r="Y141" s="33"/>
      <c r="Z141" s="34"/>
      <c r="AA141" s="34"/>
      <c r="AB141" s="34"/>
      <c r="AC141" s="33"/>
      <c r="AD141" s="34"/>
      <c r="AE141" s="34"/>
      <c r="AF141" s="34"/>
      <c r="AG141" s="33"/>
      <c r="AH141" s="34"/>
      <c r="AI141" s="34"/>
      <c r="AJ141" s="34"/>
      <c r="AK141" s="33"/>
    </row>
    <row r="142" spans="1:37" ht="15.75" customHeight="1" x14ac:dyDescent="0.3">
      <c r="A142" s="33"/>
      <c r="B142" s="34"/>
      <c r="C142" s="34"/>
      <c r="D142" s="34"/>
      <c r="E142" s="33"/>
      <c r="F142" s="34"/>
      <c r="G142" s="34"/>
      <c r="H142" s="34"/>
      <c r="I142" s="34"/>
      <c r="J142" s="33"/>
      <c r="K142" s="34"/>
      <c r="L142" s="34"/>
      <c r="M142" s="34"/>
      <c r="N142" s="34"/>
      <c r="O142" s="34"/>
      <c r="P142" s="34"/>
      <c r="Q142" s="34"/>
      <c r="R142" s="33"/>
      <c r="S142" s="34"/>
      <c r="T142" s="34"/>
      <c r="U142" s="33"/>
      <c r="V142" s="34"/>
      <c r="W142" s="34"/>
      <c r="X142" s="34"/>
      <c r="Y142" s="33"/>
      <c r="Z142" s="34"/>
      <c r="AA142" s="34"/>
      <c r="AB142" s="34"/>
      <c r="AC142" s="33"/>
      <c r="AD142" s="34"/>
      <c r="AE142" s="34"/>
      <c r="AF142" s="34"/>
      <c r="AG142" s="33"/>
      <c r="AH142" s="34"/>
      <c r="AI142" s="34"/>
      <c r="AJ142" s="34"/>
      <c r="AK142" s="33"/>
    </row>
    <row r="143" spans="1:37" ht="15.75" customHeight="1" x14ac:dyDescent="0.3">
      <c r="A143" s="33"/>
      <c r="B143" s="34"/>
      <c r="C143" s="34"/>
      <c r="D143" s="34"/>
      <c r="E143" s="33"/>
      <c r="F143" s="34"/>
      <c r="G143" s="34"/>
      <c r="H143" s="34"/>
      <c r="I143" s="34"/>
      <c r="J143" s="33"/>
      <c r="K143" s="34"/>
      <c r="L143" s="34"/>
      <c r="M143" s="34"/>
      <c r="N143" s="34"/>
      <c r="O143" s="34"/>
      <c r="P143" s="34"/>
      <c r="Q143" s="34"/>
      <c r="R143" s="33"/>
      <c r="S143" s="34"/>
      <c r="T143" s="34"/>
      <c r="U143" s="33"/>
      <c r="V143" s="34"/>
      <c r="W143" s="34"/>
      <c r="X143" s="34"/>
      <c r="Y143" s="33"/>
      <c r="Z143" s="34"/>
      <c r="AA143" s="34"/>
      <c r="AB143" s="34"/>
      <c r="AC143" s="33"/>
      <c r="AD143" s="34"/>
      <c r="AE143" s="34"/>
      <c r="AF143" s="34"/>
      <c r="AG143" s="33"/>
      <c r="AH143" s="34"/>
      <c r="AI143" s="34"/>
      <c r="AJ143" s="34"/>
      <c r="AK143" s="33"/>
    </row>
    <row r="144" spans="1:37" ht="15.75" customHeight="1" x14ac:dyDescent="0.3">
      <c r="A144" s="33"/>
      <c r="B144" s="34"/>
      <c r="C144" s="34"/>
      <c r="D144" s="34"/>
      <c r="E144" s="33"/>
      <c r="F144" s="34"/>
      <c r="G144" s="34"/>
      <c r="H144" s="34"/>
      <c r="I144" s="34"/>
      <c r="J144" s="33"/>
      <c r="K144" s="34"/>
      <c r="L144" s="34"/>
      <c r="M144" s="34"/>
      <c r="N144" s="34"/>
      <c r="O144" s="34"/>
      <c r="P144" s="34"/>
      <c r="Q144" s="34"/>
      <c r="R144" s="33"/>
      <c r="S144" s="34"/>
      <c r="T144" s="34"/>
      <c r="U144" s="33"/>
      <c r="V144" s="34"/>
      <c r="W144" s="34"/>
      <c r="X144" s="34"/>
      <c r="Y144" s="33"/>
      <c r="Z144" s="34"/>
      <c r="AA144" s="34"/>
      <c r="AB144" s="34"/>
      <c r="AC144" s="33"/>
      <c r="AD144" s="34"/>
      <c r="AE144" s="34"/>
      <c r="AF144" s="34"/>
      <c r="AG144" s="33"/>
      <c r="AH144" s="34"/>
      <c r="AI144" s="34"/>
      <c r="AJ144" s="34"/>
      <c r="AK144" s="33"/>
    </row>
    <row r="145" spans="1:37" ht="15.75" customHeight="1" x14ac:dyDescent="0.3">
      <c r="A145" s="33"/>
      <c r="B145" s="34"/>
      <c r="C145" s="34"/>
      <c r="D145" s="34"/>
      <c r="E145" s="33"/>
      <c r="F145" s="34"/>
      <c r="G145" s="34"/>
      <c r="H145" s="34"/>
      <c r="I145" s="34"/>
      <c r="J145" s="33"/>
      <c r="K145" s="34"/>
      <c r="L145" s="34"/>
      <c r="M145" s="34"/>
      <c r="N145" s="34"/>
      <c r="O145" s="34"/>
      <c r="P145" s="34"/>
      <c r="Q145" s="34"/>
      <c r="R145" s="33"/>
      <c r="S145" s="34"/>
      <c r="T145" s="34"/>
      <c r="U145" s="33"/>
      <c r="V145" s="34"/>
      <c r="W145" s="34"/>
      <c r="X145" s="34"/>
      <c r="Y145" s="33"/>
      <c r="Z145" s="34"/>
      <c r="AA145" s="34"/>
      <c r="AB145" s="34"/>
      <c r="AC145" s="33"/>
      <c r="AD145" s="34"/>
      <c r="AE145" s="34"/>
      <c r="AF145" s="34"/>
      <c r="AG145" s="33"/>
      <c r="AH145" s="34"/>
      <c r="AI145" s="34"/>
      <c r="AJ145" s="34"/>
      <c r="AK145" s="33"/>
    </row>
    <row r="146" spans="1:37" ht="15.75" customHeight="1" x14ac:dyDescent="0.3">
      <c r="A146" s="33"/>
      <c r="B146" s="34"/>
      <c r="C146" s="34"/>
      <c r="D146" s="34"/>
      <c r="E146" s="33"/>
      <c r="F146" s="34"/>
      <c r="G146" s="34"/>
      <c r="H146" s="34"/>
      <c r="I146" s="34"/>
      <c r="J146" s="33"/>
      <c r="K146" s="34"/>
      <c r="L146" s="34"/>
      <c r="M146" s="34"/>
      <c r="N146" s="34"/>
      <c r="O146" s="34"/>
      <c r="P146" s="34"/>
      <c r="Q146" s="34"/>
      <c r="R146" s="33"/>
      <c r="S146" s="34"/>
      <c r="T146" s="34"/>
      <c r="U146" s="33"/>
      <c r="V146" s="34"/>
      <c r="W146" s="34"/>
      <c r="X146" s="34"/>
      <c r="Y146" s="33"/>
      <c r="Z146" s="34"/>
      <c r="AA146" s="34"/>
      <c r="AB146" s="34"/>
      <c r="AC146" s="33"/>
      <c r="AD146" s="34"/>
      <c r="AE146" s="34"/>
      <c r="AF146" s="34"/>
      <c r="AG146" s="33"/>
      <c r="AH146" s="34"/>
      <c r="AI146" s="34"/>
      <c r="AJ146" s="34"/>
      <c r="AK146" s="33"/>
    </row>
    <row r="147" spans="1:37" ht="15.75" customHeight="1" x14ac:dyDescent="0.3">
      <c r="A147" s="33"/>
      <c r="B147" s="34"/>
      <c r="C147" s="34"/>
      <c r="D147" s="34"/>
      <c r="E147" s="33"/>
      <c r="F147" s="34"/>
      <c r="G147" s="34"/>
      <c r="H147" s="34"/>
      <c r="I147" s="34"/>
      <c r="J147" s="33"/>
      <c r="K147" s="34"/>
      <c r="L147" s="34"/>
      <c r="M147" s="34"/>
      <c r="N147" s="34"/>
      <c r="O147" s="34"/>
      <c r="P147" s="34"/>
      <c r="Q147" s="34"/>
      <c r="R147" s="33"/>
      <c r="S147" s="34"/>
      <c r="T147" s="34"/>
      <c r="U147" s="33"/>
      <c r="V147" s="34"/>
      <c r="W147" s="34"/>
      <c r="X147" s="34"/>
      <c r="Y147" s="33"/>
      <c r="Z147" s="34"/>
      <c r="AA147" s="34"/>
      <c r="AB147" s="34"/>
      <c r="AC147" s="33"/>
      <c r="AD147" s="34"/>
      <c r="AE147" s="34"/>
      <c r="AF147" s="34"/>
      <c r="AG147" s="33"/>
      <c r="AH147" s="34"/>
      <c r="AI147" s="34"/>
      <c r="AJ147" s="34"/>
      <c r="AK147" s="33"/>
    </row>
    <row r="148" spans="1:37" ht="15.75" customHeight="1" x14ac:dyDescent="0.3">
      <c r="A148" s="33"/>
      <c r="B148" s="34"/>
      <c r="C148" s="34"/>
      <c r="D148" s="34"/>
      <c r="E148" s="33"/>
      <c r="F148" s="34"/>
      <c r="G148" s="34"/>
      <c r="H148" s="34"/>
      <c r="I148" s="34"/>
      <c r="J148" s="33"/>
      <c r="K148" s="34"/>
      <c r="L148" s="34"/>
      <c r="M148" s="34"/>
      <c r="N148" s="34"/>
      <c r="O148" s="34"/>
      <c r="P148" s="34"/>
      <c r="Q148" s="34"/>
      <c r="R148" s="33"/>
      <c r="S148" s="34"/>
      <c r="T148" s="34"/>
      <c r="U148" s="33"/>
      <c r="V148" s="34"/>
      <c r="W148" s="34"/>
      <c r="X148" s="34"/>
      <c r="Y148" s="33"/>
      <c r="Z148" s="34"/>
      <c r="AA148" s="34"/>
      <c r="AB148" s="34"/>
      <c r="AC148" s="33"/>
      <c r="AD148" s="34"/>
      <c r="AE148" s="34"/>
      <c r="AF148" s="34"/>
      <c r="AG148" s="33"/>
      <c r="AH148" s="34"/>
      <c r="AI148" s="34"/>
      <c r="AJ148" s="34"/>
      <c r="AK148" s="33"/>
    </row>
    <row r="149" spans="1:37" ht="15.75" customHeight="1" x14ac:dyDescent="0.3">
      <c r="A149" s="33"/>
      <c r="B149" s="34"/>
      <c r="C149" s="34"/>
      <c r="D149" s="34"/>
      <c r="E149" s="33"/>
      <c r="F149" s="34"/>
      <c r="G149" s="34"/>
      <c r="H149" s="34"/>
      <c r="I149" s="34"/>
      <c r="J149" s="33"/>
      <c r="K149" s="34"/>
      <c r="L149" s="34"/>
      <c r="M149" s="34"/>
      <c r="N149" s="34"/>
      <c r="O149" s="34"/>
      <c r="P149" s="34"/>
      <c r="Q149" s="34"/>
      <c r="R149" s="33"/>
      <c r="S149" s="34"/>
      <c r="T149" s="34"/>
      <c r="U149" s="33"/>
      <c r="V149" s="34"/>
      <c r="W149" s="34"/>
      <c r="X149" s="34"/>
      <c r="Y149" s="33"/>
      <c r="Z149" s="34"/>
      <c r="AA149" s="34"/>
      <c r="AB149" s="34"/>
      <c r="AC149" s="33"/>
      <c r="AD149" s="34"/>
      <c r="AE149" s="34"/>
      <c r="AF149" s="34"/>
      <c r="AG149" s="33"/>
      <c r="AH149" s="34"/>
      <c r="AI149" s="34"/>
      <c r="AJ149" s="34"/>
      <c r="AK149" s="33"/>
    </row>
    <row r="150" spans="1:37" ht="15.75" customHeight="1" x14ac:dyDescent="0.3">
      <c r="A150" s="33"/>
      <c r="B150" s="34"/>
      <c r="C150" s="34"/>
      <c r="D150" s="34"/>
      <c r="E150" s="33"/>
      <c r="F150" s="34"/>
      <c r="G150" s="34"/>
      <c r="H150" s="34"/>
      <c r="I150" s="34"/>
      <c r="J150" s="33"/>
      <c r="K150" s="34"/>
      <c r="L150" s="34"/>
      <c r="M150" s="34"/>
      <c r="N150" s="34"/>
      <c r="O150" s="34"/>
      <c r="P150" s="34"/>
      <c r="Q150" s="34"/>
      <c r="R150" s="33"/>
      <c r="S150" s="34"/>
      <c r="T150" s="34"/>
      <c r="U150" s="33"/>
      <c r="V150" s="34"/>
      <c r="W150" s="34"/>
      <c r="X150" s="34"/>
      <c r="Y150" s="33"/>
      <c r="Z150" s="34"/>
      <c r="AA150" s="34"/>
      <c r="AB150" s="34"/>
      <c r="AC150" s="33"/>
      <c r="AD150" s="34"/>
      <c r="AE150" s="34"/>
      <c r="AF150" s="34"/>
      <c r="AG150" s="33"/>
      <c r="AH150" s="34"/>
      <c r="AI150" s="34"/>
      <c r="AJ150" s="34"/>
      <c r="AK150" s="33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#REF!</xm:f>
          </x14:formula1>
          <xm:sqref>G91:G95 G3:G7 G19:G23 G27:G31 G35:G39 G43:G47 G51:G55 G59:G63 G67:G71 G75:G79 G83:G87 G11:G15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МП_Total</vt:lpstr>
      <vt:lpstr>МП_Periods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Черноталов</dc:creator>
  <cp:lastModifiedBy>Вадим Кузнецов</cp:lastModifiedBy>
  <dcterms:created xsi:type="dcterms:W3CDTF">2010-04-10T10:16:35Z</dcterms:created>
  <dcterms:modified xsi:type="dcterms:W3CDTF">2026-02-16T13:54:20Z</dcterms:modified>
</cp:coreProperties>
</file>