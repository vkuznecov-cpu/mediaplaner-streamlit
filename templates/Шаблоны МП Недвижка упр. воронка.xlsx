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media_planner\templates\"/>
    </mc:Choice>
  </mc:AlternateContent>
  <xr:revisionPtr revIDLastSave="0" documentId="13_ncr:1_{CC6D9CBF-D594-4FC9-BDAB-E21DE01F0559}" xr6:coauthVersionLast="47" xr6:coauthVersionMax="47" xr10:uidLastSave="{00000000-0000-0000-0000-000000000000}"/>
  <bookViews>
    <workbookView xWindow="-105" yWindow="-16320" windowWidth="29040" windowHeight="15720" activeTab="1" xr2:uid="{00000000-000D-0000-FFFF-FFFF00000000}"/>
  </bookViews>
  <sheets>
    <sheet name="МП_Total" sheetId="3" r:id="rId1"/>
    <sheet name="МП_Periods" sheetId="4" r:id="rId2"/>
  </sheets>
  <calcPr calcId="181029"/>
  <extLst>
    <ext uri="GoogleSheetsCustomDataVersion2">
      <go:sheetsCustomData xmlns:go="http://customooxmlschemas.google.com/" r:id="rId15" roundtripDataChecksum="Vz3oXheFtCgPvDyBdCe3bvU6gbow63a+IldyQWs1kc4="/>
    </ext>
  </extLst>
</workbook>
</file>

<file path=xl/calcChain.xml><?xml version="1.0" encoding="utf-8"?>
<calcChain xmlns="http://schemas.openxmlformats.org/spreadsheetml/2006/main">
  <c r="L117" i="4" l="1"/>
  <c r="AL3" i="3"/>
  <c r="AG4" i="3"/>
  <c r="AG5" i="3"/>
  <c r="AG6" i="3"/>
  <c r="AG7" i="3"/>
  <c r="AG8" i="3"/>
  <c r="AG9" i="3"/>
  <c r="AG10" i="3"/>
  <c r="AG11" i="3"/>
  <c r="AG12" i="3"/>
  <c r="AG3" i="3"/>
  <c r="AL9" i="3"/>
  <c r="AM9" i="3" s="1"/>
  <c r="AI9" i="3"/>
  <c r="AL8" i="3"/>
  <c r="AM8" i="3" s="1"/>
  <c r="AI8" i="3"/>
  <c r="AL7" i="3"/>
  <c r="AM7" i="3" s="1"/>
  <c r="AI7" i="3"/>
  <c r="AL6" i="3"/>
  <c r="AM6" i="3" s="1"/>
  <c r="AI6" i="3"/>
  <c r="AL5" i="3"/>
  <c r="AM5" i="3" s="1"/>
  <c r="AI5" i="3"/>
  <c r="AE152" i="4"/>
  <c r="AI152" i="4" s="1"/>
  <c r="AB152" i="4"/>
  <c r="I152" i="4"/>
  <c r="N152" i="4" s="1"/>
  <c r="P152" i="4" s="1"/>
  <c r="R152" i="4" s="1"/>
  <c r="S152" i="4" s="1"/>
  <c r="AE151" i="4"/>
  <c r="AI151" i="4" s="1"/>
  <c r="AB151" i="4"/>
  <c r="I151" i="4"/>
  <c r="N151" i="4" s="1"/>
  <c r="P151" i="4" s="1"/>
  <c r="R151" i="4" s="1"/>
  <c r="S151" i="4" s="1"/>
  <c r="AE150" i="4"/>
  <c r="AI150" i="4" s="1"/>
  <c r="AB150" i="4"/>
  <c r="I150" i="4"/>
  <c r="N150" i="4" s="1"/>
  <c r="P150" i="4" s="1"/>
  <c r="R150" i="4" s="1"/>
  <c r="S150" i="4" s="1"/>
  <c r="AE149" i="4"/>
  <c r="AI149" i="4" s="1"/>
  <c r="AB149" i="4"/>
  <c r="I149" i="4"/>
  <c r="N149" i="4" s="1"/>
  <c r="P149" i="4" s="1"/>
  <c r="R149" i="4" s="1"/>
  <c r="S149" i="4" s="1"/>
  <c r="AE148" i="4"/>
  <c r="AI148" i="4" s="1"/>
  <c r="AB148" i="4"/>
  <c r="I148" i="4"/>
  <c r="N148" i="4" s="1"/>
  <c r="P148" i="4" s="1"/>
  <c r="R148" i="4" s="1"/>
  <c r="S148" i="4" s="1"/>
  <c r="AE139" i="4"/>
  <c r="AI139" i="4" s="1"/>
  <c r="AB139" i="4"/>
  <c r="I139" i="4"/>
  <c r="N139" i="4" s="1"/>
  <c r="P139" i="4" s="1"/>
  <c r="R139" i="4" s="1"/>
  <c r="S139" i="4" s="1"/>
  <c r="AE138" i="4"/>
  <c r="AI138" i="4" s="1"/>
  <c r="AB138" i="4"/>
  <c r="I138" i="4"/>
  <c r="N138" i="4" s="1"/>
  <c r="P138" i="4" s="1"/>
  <c r="R138" i="4" s="1"/>
  <c r="S138" i="4" s="1"/>
  <c r="AE137" i="4"/>
  <c r="AI137" i="4" s="1"/>
  <c r="AB137" i="4"/>
  <c r="I137" i="4"/>
  <c r="N137" i="4" s="1"/>
  <c r="P137" i="4" s="1"/>
  <c r="R137" i="4" s="1"/>
  <c r="S137" i="4" s="1"/>
  <c r="AE136" i="4"/>
  <c r="AI136" i="4" s="1"/>
  <c r="AB136" i="4"/>
  <c r="I136" i="4"/>
  <c r="N136" i="4" s="1"/>
  <c r="P136" i="4" s="1"/>
  <c r="R136" i="4" s="1"/>
  <c r="S136" i="4" s="1"/>
  <c r="AE135" i="4"/>
  <c r="AI135" i="4" s="1"/>
  <c r="AB135" i="4"/>
  <c r="I135" i="4"/>
  <c r="N135" i="4" s="1"/>
  <c r="P135" i="4" s="1"/>
  <c r="R135" i="4" s="1"/>
  <c r="S135" i="4" s="1"/>
  <c r="AE126" i="4"/>
  <c r="AI126" i="4" s="1"/>
  <c r="AB126" i="4"/>
  <c r="I126" i="4"/>
  <c r="N126" i="4" s="1"/>
  <c r="P126" i="4" s="1"/>
  <c r="R126" i="4" s="1"/>
  <c r="S126" i="4" s="1"/>
  <c r="AE125" i="4"/>
  <c r="AI125" i="4" s="1"/>
  <c r="AB125" i="4"/>
  <c r="I125" i="4"/>
  <c r="N125" i="4" s="1"/>
  <c r="P125" i="4" s="1"/>
  <c r="R125" i="4" s="1"/>
  <c r="S125" i="4" s="1"/>
  <c r="AE124" i="4"/>
  <c r="AI124" i="4" s="1"/>
  <c r="AB124" i="4"/>
  <c r="I124" i="4"/>
  <c r="N124" i="4" s="1"/>
  <c r="P124" i="4" s="1"/>
  <c r="R124" i="4" s="1"/>
  <c r="S124" i="4" s="1"/>
  <c r="AE123" i="4"/>
  <c r="AI123" i="4" s="1"/>
  <c r="AB123" i="4"/>
  <c r="I123" i="4"/>
  <c r="N123" i="4" s="1"/>
  <c r="P123" i="4" s="1"/>
  <c r="R123" i="4" s="1"/>
  <c r="S123" i="4" s="1"/>
  <c r="AE122" i="4"/>
  <c r="AI122" i="4" s="1"/>
  <c r="AB122" i="4"/>
  <c r="I122" i="4"/>
  <c r="N122" i="4" s="1"/>
  <c r="P122" i="4" s="1"/>
  <c r="R122" i="4" s="1"/>
  <c r="S122" i="4" s="1"/>
  <c r="AE113" i="4"/>
  <c r="AI113" i="4" s="1"/>
  <c r="AB113" i="4"/>
  <c r="I113" i="4"/>
  <c r="N113" i="4" s="1"/>
  <c r="P113" i="4" s="1"/>
  <c r="R113" i="4" s="1"/>
  <c r="S113" i="4" s="1"/>
  <c r="AE112" i="4"/>
  <c r="AI112" i="4" s="1"/>
  <c r="AB112" i="4"/>
  <c r="I112" i="4"/>
  <c r="N112" i="4" s="1"/>
  <c r="P112" i="4" s="1"/>
  <c r="R112" i="4" s="1"/>
  <c r="S112" i="4" s="1"/>
  <c r="AE111" i="4"/>
  <c r="AI111" i="4" s="1"/>
  <c r="AB111" i="4"/>
  <c r="I111" i="4"/>
  <c r="N111" i="4" s="1"/>
  <c r="P111" i="4" s="1"/>
  <c r="R111" i="4" s="1"/>
  <c r="S111" i="4" s="1"/>
  <c r="AE110" i="4"/>
  <c r="AI110" i="4" s="1"/>
  <c r="AB110" i="4"/>
  <c r="I110" i="4"/>
  <c r="N110" i="4" s="1"/>
  <c r="P110" i="4" s="1"/>
  <c r="R110" i="4" s="1"/>
  <c r="S110" i="4" s="1"/>
  <c r="AE109" i="4"/>
  <c r="AI109" i="4" s="1"/>
  <c r="AB109" i="4"/>
  <c r="I109" i="4"/>
  <c r="N109" i="4" s="1"/>
  <c r="P109" i="4" s="1"/>
  <c r="R109" i="4" s="1"/>
  <c r="S109" i="4" s="1"/>
  <c r="AE100" i="4"/>
  <c r="AI100" i="4" s="1"/>
  <c r="AB100" i="4"/>
  <c r="I100" i="4"/>
  <c r="N100" i="4" s="1"/>
  <c r="P100" i="4" s="1"/>
  <c r="R100" i="4" s="1"/>
  <c r="S100" i="4" s="1"/>
  <c r="AE99" i="4"/>
  <c r="AI99" i="4" s="1"/>
  <c r="AB99" i="4"/>
  <c r="I99" i="4"/>
  <c r="N99" i="4" s="1"/>
  <c r="P99" i="4" s="1"/>
  <c r="R99" i="4" s="1"/>
  <c r="S99" i="4" s="1"/>
  <c r="AE98" i="4"/>
  <c r="AI98" i="4" s="1"/>
  <c r="AB98" i="4"/>
  <c r="I98" i="4"/>
  <c r="N98" i="4" s="1"/>
  <c r="P98" i="4" s="1"/>
  <c r="R98" i="4" s="1"/>
  <c r="S98" i="4" s="1"/>
  <c r="AE97" i="4"/>
  <c r="AI97" i="4" s="1"/>
  <c r="AB97" i="4"/>
  <c r="I97" i="4"/>
  <c r="N97" i="4" s="1"/>
  <c r="P97" i="4" s="1"/>
  <c r="R97" i="4" s="1"/>
  <c r="S97" i="4" s="1"/>
  <c r="AE96" i="4"/>
  <c r="AI96" i="4" s="1"/>
  <c r="AB96" i="4"/>
  <c r="I96" i="4"/>
  <c r="N96" i="4" s="1"/>
  <c r="P96" i="4" s="1"/>
  <c r="R96" i="4" s="1"/>
  <c r="S96" i="4" s="1"/>
  <c r="AE87" i="4"/>
  <c r="AI87" i="4" s="1"/>
  <c r="AB87" i="4"/>
  <c r="I87" i="4"/>
  <c r="N87" i="4" s="1"/>
  <c r="P87" i="4" s="1"/>
  <c r="R87" i="4" s="1"/>
  <c r="S87" i="4" s="1"/>
  <c r="AE86" i="4"/>
  <c r="AI86" i="4" s="1"/>
  <c r="AB86" i="4"/>
  <c r="I86" i="4"/>
  <c r="N86" i="4" s="1"/>
  <c r="P86" i="4" s="1"/>
  <c r="R86" i="4" s="1"/>
  <c r="S86" i="4" s="1"/>
  <c r="AE85" i="4"/>
  <c r="AI85" i="4" s="1"/>
  <c r="AB85" i="4"/>
  <c r="I85" i="4"/>
  <c r="N85" i="4" s="1"/>
  <c r="P85" i="4" s="1"/>
  <c r="R85" i="4" s="1"/>
  <c r="S85" i="4" s="1"/>
  <c r="AE84" i="4"/>
  <c r="AI84" i="4" s="1"/>
  <c r="AB84" i="4"/>
  <c r="I84" i="4"/>
  <c r="N84" i="4" s="1"/>
  <c r="P84" i="4" s="1"/>
  <c r="R84" i="4" s="1"/>
  <c r="S84" i="4" s="1"/>
  <c r="AE83" i="4"/>
  <c r="AI83" i="4" s="1"/>
  <c r="AB83" i="4"/>
  <c r="I83" i="4"/>
  <c r="N83" i="4" s="1"/>
  <c r="P83" i="4" s="1"/>
  <c r="R83" i="4" s="1"/>
  <c r="S83" i="4" s="1"/>
  <c r="AE74" i="4"/>
  <c r="AI74" i="4" s="1"/>
  <c r="AB74" i="4"/>
  <c r="I74" i="4"/>
  <c r="N74" i="4" s="1"/>
  <c r="P74" i="4" s="1"/>
  <c r="R74" i="4" s="1"/>
  <c r="S74" i="4" s="1"/>
  <c r="AE73" i="4"/>
  <c r="AI73" i="4" s="1"/>
  <c r="AB73" i="4"/>
  <c r="I73" i="4"/>
  <c r="N73" i="4" s="1"/>
  <c r="P73" i="4" s="1"/>
  <c r="R73" i="4" s="1"/>
  <c r="S73" i="4" s="1"/>
  <c r="AE72" i="4"/>
  <c r="AI72" i="4" s="1"/>
  <c r="AB72" i="4"/>
  <c r="I72" i="4"/>
  <c r="N72" i="4" s="1"/>
  <c r="P72" i="4" s="1"/>
  <c r="R72" i="4" s="1"/>
  <c r="S72" i="4" s="1"/>
  <c r="AE71" i="4"/>
  <c r="AI71" i="4" s="1"/>
  <c r="AB71" i="4"/>
  <c r="I71" i="4"/>
  <c r="N71" i="4" s="1"/>
  <c r="P71" i="4" s="1"/>
  <c r="R71" i="4" s="1"/>
  <c r="S71" i="4" s="1"/>
  <c r="AE70" i="4"/>
  <c r="AI70" i="4" s="1"/>
  <c r="AB70" i="4"/>
  <c r="I70" i="4"/>
  <c r="N70" i="4" s="1"/>
  <c r="P70" i="4" s="1"/>
  <c r="R70" i="4" s="1"/>
  <c r="S70" i="4" s="1"/>
  <c r="AE61" i="4"/>
  <c r="AI61" i="4" s="1"/>
  <c r="AB61" i="4"/>
  <c r="I61" i="4"/>
  <c r="N61" i="4" s="1"/>
  <c r="P61" i="4" s="1"/>
  <c r="R61" i="4" s="1"/>
  <c r="S61" i="4" s="1"/>
  <c r="AE60" i="4"/>
  <c r="AI60" i="4" s="1"/>
  <c r="AB60" i="4"/>
  <c r="I60" i="4"/>
  <c r="N60" i="4" s="1"/>
  <c r="P60" i="4" s="1"/>
  <c r="R60" i="4" s="1"/>
  <c r="S60" i="4" s="1"/>
  <c r="AE59" i="4"/>
  <c r="AI59" i="4" s="1"/>
  <c r="AB59" i="4"/>
  <c r="I59" i="4"/>
  <c r="N59" i="4" s="1"/>
  <c r="P59" i="4" s="1"/>
  <c r="R59" i="4" s="1"/>
  <c r="S59" i="4" s="1"/>
  <c r="AE58" i="4"/>
  <c r="AI58" i="4" s="1"/>
  <c r="AB58" i="4"/>
  <c r="I58" i="4"/>
  <c r="N58" i="4" s="1"/>
  <c r="P58" i="4" s="1"/>
  <c r="R58" i="4" s="1"/>
  <c r="S58" i="4" s="1"/>
  <c r="AE57" i="4"/>
  <c r="AI57" i="4" s="1"/>
  <c r="AB57" i="4"/>
  <c r="I57" i="4"/>
  <c r="N57" i="4" s="1"/>
  <c r="P57" i="4" s="1"/>
  <c r="R57" i="4" s="1"/>
  <c r="S57" i="4" s="1"/>
  <c r="AE47" i="4"/>
  <c r="AI47" i="4" s="1"/>
  <c r="AB47" i="4"/>
  <c r="I47" i="4"/>
  <c r="N47" i="4" s="1"/>
  <c r="P47" i="4" s="1"/>
  <c r="R47" i="4" s="1"/>
  <c r="S47" i="4" s="1"/>
  <c r="AE46" i="4"/>
  <c r="AI46" i="4" s="1"/>
  <c r="AB46" i="4"/>
  <c r="I46" i="4"/>
  <c r="N46" i="4" s="1"/>
  <c r="P46" i="4" s="1"/>
  <c r="R46" i="4" s="1"/>
  <c r="S46" i="4" s="1"/>
  <c r="AE45" i="4"/>
  <c r="AI45" i="4" s="1"/>
  <c r="AB45" i="4"/>
  <c r="I45" i="4"/>
  <c r="N45" i="4" s="1"/>
  <c r="P45" i="4" s="1"/>
  <c r="R45" i="4" s="1"/>
  <c r="S45" i="4" s="1"/>
  <c r="AE44" i="4"/>
  <c r="AI44" i="4" s="1"/>
  <c r="AB44" i="4"/>
  <c r="I44" i="4"/>
  <c r="N44" i="4" s="1"/>
  <c r="P44" i="4" s="1"/>
  <c r="R44" i="4" s="1"/>
  <c r="S44" i="4" s="1"/>
  <c r="AE43" i="4"/>
  <c r="AI43" i="4" s="1"/>
  <c r="AB43" i="4"/>
  <c r="I43" i="4"/>
  <c r="N43" i="4" s="1"/>
  <c r="P43" i="4" s="1"/>
  <c r="R43" i="4" s="1"/>
  <c r="S43" i="4" s="1"/>
  <c r="AE35" i="4"/>
  <c r="AI35" i="4" s="1"/>
  <c r="AB35" i="4"/>
  <c r="I35" i="4"/>
  <c r="N35" i="4" s="1"/>
  <c r="P35" i="4" s="1"/>
  <c r="R35" i="4" s="1"/>
  <c r="S35" i="4" s="1"/>
  <c r="AE34" i="4"/>
  <c r="AI34" i="4" s="1"/>
  <c r="AB34" i="4"/>
  <c r="I34" i="4"/>
  <c r="N34" i="4" s="1"/>
  <c r="P34" i="4" s="1"/>
  <c r="R34" i="4" s="1"/>
  <c r="S34" i="4" s="1"/>
  <c r="AE33" i="4"/>
  <c r="AI33" i="4" s="1"/>
  <c r="AB33" i="4"/>
  <c r="I33" i="4"/>
  <c r="N33" i="4" s="1"/>
  <c r="P33" i="4" s="1"/>
  <c r="R33" i="4" s="1"/>
  <c r="S33" i="4" s="1"/>
  <c r="AE32" i="4"/>
  <c r="AI32" i="4" s="1"/>
  <c r="AB32" i="4"/>
  <c r="I32" i="4"/>
  <c r="N32" i="4" s="1"/>
  <c r="P32" i="4" s="1"/>
  <c r="R32" i="4" s="1"/>
  <c r="S32" i="4" s="1"/>
  <c r="AE31" i="4"/>
  <c r="AI31" i="4" s="1"/>
  <c r="AB31" i="4"/>
  <c r="I31" i="4"/>
  <c r="N31" i="4" s="1"/>
  <c r="P31" i="4" s="1"/>
  <c r="R31" i="4" s="1"/>
  <c r="S31" i="4" s="1"/>
  <c r="AE22" i="4"/>
  <c r="AI22" i="4" s="1"/>
  <c r="AB22" i="4"/>
  <c r="I22" i="4"/>
  <c r="N22" i="4" s="1"/>
  <c r="P22" i="4" s="1"/>
  <c r="R22" i="4" s="1"/>
  <c r="S22" i="4" s="1"/>
  <c r="AE21" i="4"/>
  <c r="AI21" i="4" s="1"/>
  <c r="AB21" i="4"/>
  <c r="I21" i="4"/>
  <c r="N21" i="4" s="1"/>
  <c r="P21" i="4" s="1"/>
  <c r="R21" i="4" s="1"/>
  <c r="S21" i="4" s="1"/>
  <c r="AE20" i="4"/>
  <c r="AI20" i="4" s="1"/>
  <c r="AB20" i="4"/>
  <c r="I20" i="4"/>
  <c r="N20" i="4" s="1"/>
  <c r="P20" i="4" s="1"/>
  <c r="R20" i="4" s="1"/>
  <c r="S20" i="4" s="1"/>
  <c r="AE19" i="4"/>
  <c r="AI19" i="4" s="1"/>
  <c r="AB19" i="4"/>
  <c r="I19" i="4"/>
  <c r="N19" i="4" s="1"/>
  <c r="P19" i="4" s="1"/>
  <c r="R19" i="4" s="1"/>
  <c r="S19" i="4" s="1"/>
  <c r="AE18" i="4"/>
  <c r="AI18" i="4" s="1"/>
  <c r="AB18" i="4"/>
  <c r="I18" i="4"/>
  <c r="N18" i="4" s="1"/>
  <c r="P18" i="4" s="1"/>
  <c r="R18" i="4" s="1"/>
  <c r="S18" i="4" s="1"/>
  <c r="AE9" i="4"/>
  <c r="AI9" i="4" s="1"/>
  <c r="AB9" i="4"/>
  <c r="I9" i="4"/>
  <c r="N9" i="4" s="1"/>
  <c r="P9" i="4" s="1"/>
  <c r="R9" i="4" s="1"/>
  <c r="S9" i="4" s="1"/>
  <c r="AE8" i="4"/>
  <c r="AI8" i="4" s="1"/>
  <c r="AB8" i="4"/>
  <c r="I8" i="4"/>
  <c r="N8" i="4" s="1"/>
  <c r="P8" i="4" s="1"/>
  <c r="R8" i="4" s="1"/>
  <c r="S8" i="4" s="1"/>
  <c r="AE7" i="4"/>
  <c r="AI7" i="4" s="1"/>
  <c r="AB7" i="4"/>
  <c r="I7" i="4"/>
  <c r="N7" i="4" s="1"/>
  <c r="P7" i="4" s="1"/>
  <c r="R7" i="4" s="1"/>
  <c r="S7" i="4" s="1"/>
  <c r="AE6" i="4"/>
  <c r="AI6" i="4" s="1"/>
  <c r="AB6" i="4"/>
  <c r="I6" i="4"/>
  <c r="N6" i="4" s="1"/>
  <c r="P6" i="4" s="1"/>
  <c r="R6" i="4" s="1"/>
  <c r="S6" i="4" s="1"/>
  <c r="AE5" i="4"/>
  <c r="AI5" i="4" s="1"/>
  <c r="AB5" i="4"/>
  <c r="I5" i="4"/>
  <c r="N5" i="4" s="1"/>
  <c r="P5" i="4" s="1"/>
  <c r="R5" i="4" s="1"/>
  <c r="S5" i="4" s="1"/>
  <c r="I155" i="4"/>
  <c r="N155" i="4" s="1"/>
  <c r="P155" i="4" s="1"/>
  <c r="R155" i="4" s="1"/>
  <c r="S155" i="4" s="1"/>
  <c r="I154" i="4"/>
  <c r="I153" i="4"/>
  <c r="N153" i="4" s="1"/>
  <c r="P153" i="4" s="1"/>
  <c r="R153" i="4" s="1"/>
  <c r="S153" i="4" s="1"/>
  <c r="I147" i="4"/>
  <c r="N147" i="4" s="1"/>
  <c r="P147" i="4" s="1"/>
  <c r="R147" i="4" s="1"/>
  <c r="S147" i="4" s="1"/>
  <c r="I146" i="4"/>
  <c r="N146" i="4" s="1"/>
  <c r="I142" i="4"/>
  <c r="N142" i="4" s="1"/>
  <c r="P142" i="4" s="1"/>
  <c r="R142" i="4" s="1"/>
  <c r="S142" i="4" s="1"/>
  <c r="I141" i="4"/>
  <c r="N141" i="4" s="1"/>
  <c r="P141" i="4" s="1"/>
  <c r="R141" i="4" s="1"/>
  <c r="S141" i="4" s="1"/>
  <c r="I140" i="4"/>
  <c r="N140" i="4" s="1"/>
  <c r="P140" i="4" s="1"/>
  <c r="R140" i="4" s="1"/>
  <c r="S140" i="4" s="1"/>
  <c r="I134" i="4"/>
  <c r="N134" i="4" s="1"/>
  <c r="P134" i="4" s="1"/>
  <c r="R134" i="4" s="1"/>
  <c r="S134" i="4" s="1"/>
  <c r="I133" i="4"/>
  <c r="N133" i="4" s="1"/>
  <c r="I129" i="4"/>
  <c r="N129" i="4" s="1"/>
  <c r="P129" i="4" s="1"/>
  <c r="R129" i="4" s="1"/>
  <c r="S129" i="4" s="1"/>
  <c r="I128" i="4"/>
  <c r="N128" i="4" s="1"/>
  <c r="I127" i="4"/>
  <c r="N127" i="4" s="1"/>
  <c r="P127" i="4" s="1"/>
  <c r="R127" i="4" s="1"/>
  <c r="S127" i="4" s="1"/>
  <c r="I121" i="4"/>
  <c r="N121" i="4" s="1"/>
  <c r="P121" i="4" s="1"/>
  <c r="R121" i="4" s="1"/>
  <c r="S121" i="4" s="1"/>
  <c r="I120" i="4"/>
  <c r="N120" i="4" s="1"/>
  <c r="P120" i="4" s="1"/>
  <c r="I116" i="4"/>
  <c r="N116" i="4" s="1"/>
  <c r="P116" i="4" s="1"/>
  <c r="R116" i="4" s="1"/>
  <c r="S116" i="4" s="1"/>
  <c r="I115" i="4"/>
  <c r="N115" i="4" s="1"/>
  <c r="P115" i="4" s="1"/>
  <c r="R115" i="4" s="1"/>
  <c r="S115" i="4" s="1"/>
  <c r="I114" i="4"/>
  <c r="N114" i="4" s="1"/>
  <c r="P114" i="4" s="1"/>
  <c r="R114" i="4" s="1"/>
  <c r="S114" i="4" s="1"/>
  <c r="I108" i="4"/>
  <c r="N108" i="4" s="1"/>
  <c r="P108" i="4" s="1"/>
  <c r="I107" i="4"/>
  <c r="N107" i="4" s="1"/>
  <c r="P107" i="4" s="1"/>
  <c r="R107" i="4" s="1"/>
  <c r="S107" i="4" s="1"/>
  <c r="I103" i="4"/>
  <c r="N103" i="4" s="1"/>
  <c r="P103" i="4" s="1"/>
  <c r="R103" i="4" s="1"/>
  <c r="S103" i="4" s="1"/>
  <c r="I102" i="4"/>
  <c r="N102" i="4" s="1"/>
  <c r="P102" i="4" s="1"/>
  <c r="R102" i="4" s="1"/>
  <c r="S102" i="4" s="1"/>
  <c r="I101" i="4"/>
  <c r="N101" i="4" s="1"/>
  <c r="P101" i="4" s="1"/>
  <c r="R101" i="4" s="1"/>
  <c r="S101" i="4" s="1"/>
  <c r="I95" i="4"/>
  <c r="N95" i="4" s="1"/>
  <c r="P95" i="4" s="1"/>
  <c r="R95" i="4" s="1"/>
  <c r="S95" i="4" s="1"/>
  <c r="I94" i="4"/>
  <c r="N94" i="4" s="1"/>
  <c r="P94" i="4" s="1"/>
  <c r="R94" i="4" s="1"/>
  <c r="S94" i="4" s="1"/>
  <c r="I77" i="4"/>
  <c r="N77" i="4" s="1"/>
  <c r="P77" i="4" s="1"/>
  <c r="R77" i="4" s="1"/>
  <c r="S77" i="4" s="1"/>
  <c r="I76" i="4"/>
  <c r="N76" i="4" s="1"/>
  <c r="P76" i="4" s="1"/>
  <c r="R76" i="4" s="1"/>
  <c r="S76" i="4" s="1"/>
  <c r="I75" i="4"/>
  <c r="N75" i="4" s="1"/>
  <c r="P75" i="4" s="1"/>
  <c r="R75" i="4" s="1"/>
  <c r="S75" i="4" s="1"/>
  <c r="I69" i="4"/>
  <c r="N69" i="4" s="1"/>
  <c r="P69" i="4" s="1"/>
  <c r="R69" i="4" s="1"/>
  <c r="S69" i="4" s="1"/>
  <c r="I68" i="4"/>
  <c r="I64" i="4"/>
  <c r="N64" i="4" s="1"/>
  <c r="P64" i="4" s="1"/>
  <c r="R64" i="4" s="1"/>
  <c r="S64" i="4" s="1"/>
  <c r="I63" i="4"/>
  <c r="N63" i="4" s="1"/>
  <c r="P63" i="4" s="1"/>
  <c r="R63" i="4" s="1"/>
  <c r="S63" i="4" s="1"/>
  <c r="I62" i="4"/>
  <c r="N62" i="4" s="1"/>
  <c r="P62" i="4" s="1"/>
  <c r="R62" i="4" s="1"/>
  <c r="S62" i="4" s="1"/>
  <c r="I56" i="4"/>
  <c r="N56" i="4" s="1"/>
  <c r="P56" i="4" s="1"/>
  <c r="R56" i="4" s="1"/>
  <c r="S56" i="4" s="1"/>
  <c r="I55" i="4"/>
  <c r="N55" i="4" s="1"/>
  <c r="P55" i="4" s="1"/>
  <c r="R55" i="4" s="1"/>
  <c r="S55" i="4" s="1"/>
  <c r="I38" i="4"/>
  <c r="N38" i="4" s="1"/>
  <c r="P38" i="4" s="1"/>
  <c r="I37" i="4"/>
  <c r="N37" i="4" s="1"/>
  <c r="P37" i="4" s="1"/>
  <c r="I36" i="4"/>
  <c r="N36" i="4" s="1"/>
  <c r="P36" i="4" s="1"/>
  <c r="R36" i="4" s="1"/>
  <c r="S36" i="4" s="1"/>
  <c r="I30" i="4"/>
  <c r="N30" i="4" s="1"/>
  <c r="P30" i="4" s="1"/>
  <c r="R30" i="4" s="1"/>
  <c r="S30" i="4" s="1"/>
  <c r="I29" i="4"/>
  <c r="I25" i="4"/>
  <c r="N25" i="4" s="1"/>
  <c r="P25" i="4" s="1"/>
  <c r="R25" i="4" s="1"/>
  <c r="S25" i="4" s="1"/>
  <c r="I24" i="4"/>
  <c r="N24" i="4" s="1"/>
  <c r="I23" i="4"/>
  <c r="N23" i="4" s="1"/>
  <c r="P23" i="4" s="1"/>
  <c r="R23" i="4" s="1"/>
  <c r="S23" i="4" s="1"/>
  <c r="I17" i="4"/>
  <c r="N17" i="4" s="1"/>
  <c r="I16" i="4"/>
  <c r="N16" i="4" s="1"/>
  <c r="I4" i="4"/>
  <c r="N4" i="4" s="1"/>
  <c r="I10" i="4"/>
  <c r="N10" i="4" s="1"/>
  <c r="P10" i="4" s="1"/>
  <c r="R10" i="4" s="1"/>
  <c r="S10" i="4" s="1"/>
  <c r="I11" i="4"/>
  <c r="N11" i="4" s="1"/>
  <c r="P11" i="4" s="1"/>
  <c r="R11" i="4" s="1"/>
  <c r="S11" i="4" s="1"/>
  <c r="I12" i="4"/>
  <c r="N12" i="4" s="1"/>
  <c r="P12" i="4" s="1"/>
  <c r="R12" i="4" s="1"/>
  <c r="S12" i="4" s="1"/>
  <c r="I3" i="4"/>
  <c r="N3" i="4" s="1"/>
  <c r="P3" i="4" s="1"/>
  <c r="R3" i="4" s="1"/>
  <c r="S3" i="4" s="1"/>
  <c r="AB155" i="4"/>
  <c r="AE155" i="4"/>
  <c r="AI155" i="4" s="1"/>
  <c r="AB154" i="4"/>
  <c r="AE154" i="4"/>
  <c r="AI154" i="4" s="1"/>
  <c r="AB153" i="4"/>
  <c r="AE153" i="4"/>
  <c r="AI153" i="4" s="1"/>
  <c r="AB147" i="4"/>
  <c r="AE147" i="4"/>
  <c r="AI147" i="4" s="1"/>
  <c r="AB146" i="4"/>
  <c r="V156" i="4"/>
  <c r="V143" i="4"/>
  <c r="AB142" i="4"/>
  <c r="AE142" i="4"/>
  <c r="AI142" i="4" s="1"/>
  <c r="AB141" i="4"/>
  <c r="AE141" i="4"/>
  <c r="AI141" i="4" s="1"/>
  <c r="AB140" i="4"/>
  <c r="AE140" i="4"/>
  <c r="AI140" i="4" s="1"/>
  <c r="AB134" i="4"/>
  <c r="AE134" i="4"/>
  <c r="AI134" i="4" s="1"/>
  <c r="AB133" i="4"/>
  <c r="AE133" i="4"/>
  <c r="V130" i="4"/>
  <c r="AB129" i="4"/>
  <c r="AE129" i="4"/>
  <c r="AI129" i="4" s="1"/>
  <c r="AE128" i="4"/>
  <c r="AI128" i="4" s="1"/>
  <c r="AB128" i="4"/>
  <c r="AB127" i="4"/>
  <c r="AE127" i="4"/>
  <c r="AI127" i="4" s="1"/>
  <c r="AB121" i="4"/>
  <c r="AE121" i="4"/>
  <c r="AI121" i="4" s="1"/>
  <c r="AB120" i="4"/>
  <c r="AE120" i="4"/>
  <c r="AB116" i="4"/>
  <c r="AE116" i="4"/>
  <c r="AI116" i="4" s="1"/>
  <c r="AB115" i="4"/>
  <c r="AE115" i="4"/>
  <c r="AI115" i="4" s="1"/>
  <c r="AB114" i="4"/>
  <c r="AE114" i="4"/>
  <c r="AI114" i="4" s="1"/>
  <c r="AB108" i="4"/>
  <c r="AE108" i="4"/>
  <c r="AI108" i="4" s="1"/>
  <c r="AB107" i="4"/>
  <c r="AE107" i="4"/>
  <c r="AB103" i="4"/>
  <c r="AE103" i="4"/>
  <c r="AI103" i="4" s="1"/>
  <c r="AB102" i="4"/>
  <c r="AE102" i="4"/>
  <c r="AI102" i="4" s="1"/>
  <c r="AB101" i="4"/>
  <c r="AE101" i="4"/>
  <c r="AI101" i="4" s="1"/>
  <c r="AB95" i="4"/>
  <c r="AE95" i="4"/>
  <c r="AI95" i="4" s="1"/>
  <c r="AB94" i="4"/>
  <c r="AB90" i="4"/>
  <c r="AB89" i="4"/>
  <c r="AB88" i="4"/>
  <c r="AB82" i="4"/>
  <c r="AB81" i="4"/>
  <c r="AB77" i="4"/>
  <c r="AE77" i="4"/>
  <c r="AI77" i="4" s="1"/>
  <c r="AB76" i="4"/>
  <c r="AE76" i="4"/>
  <c r="AI76" i="4" s="1"/>
  <c r="AB75" i="4"/>
  <c r="AE75" i="4"/>
  <c r="AI75" i="4" s="1"/>
  <c r="AB69" i="4"/>
  <c r="AE69" i="4"/>
  <c r="AI69" i="4" s="1"/>
  <c r="AB68" i="4"/>
  <c r="AB64" i="4"/>
  <c r="AE64" i="4"/>
  <c r="AI64" i="4" s="1"/>
  <c r="AB63" i="4"/>
  <c r="AE63" i="4"/>
  <c r="AI63" i="4" s="1"/>
  <c r="AB62" i="4"/>
  <c r="AE62" i="4"/>
  <c r="AI62" i="4" s="1"/>
  <c r="AB56" i="4"/>
  <c r="AE56" i="4"/>
  <c r="AI56" i="4" s="1"/>
  <c r="AB55" i="4"/>
  <c r="AE55" i="4"/>
  <c r="AI55" i="4" s="1"/>
  <c r="AB51" i="4"/>
  <c r="AB50" i="4"/>
  <c r="AB49" i="4"/>
  <c r="AB48" i="4"/>
  <c r="AB42" i="4"/>
  <c r="V39" i="4"/>
  <c r="AB38" i="4"/>
  <c r="AE38" i="4"/>
  <c r="AB37" i="4"/>
  <c r="AE37" i="4"/>
  <c r="AI37" i="4" s="1"/>
  <c r="AB36" i="4"/>
  <c r="AE36" i="4"/>
  <c r="AB30" i="4"/>
  <c r="AE30" i="4"/>
  <c r="AB29" i="4"/>
  <c r="AE29" i="4"/>
  <c r="AB25" i="4"/>
  <c r="AE25" i="4"/>
  <c r="AI25" i="4" s="1"/>
  <c r="AE24" i="4"/>
  <c r="AI24" i="4" s="1"/>
  <c r="AB24" i="4"/>
  <c r="AB23" i="4"/>
  <c r="AE23" i="4"/>
  <c r="AI23" i="4" s="1"/>
  <c r="AB17" i="4"/>
  <c r="AE17" i="4"/>
  <c r="AI17" i="4" s="1"/>
  <c r="AB16" i="4"/>
  <c r="AB12" i="4"/>
  <c r="AB11" i="4"/>
  <c r="AE11" i="4"/>
  <c r="AB10" i="4"/>
  <c r="AE10" i="4"/>
  <c r="AI10" i="4" s="1"/>
  <c r="AB4" i="4"/>
  <c r="AB3" i="4"/>
  <c r="AL12" i="3"/>
  <c r="AM12" i="3" s="1"/>
  <c r="AI12" i="3"/>
  <c r="AL11" i="3"/>
  <c r="AM11" i="3" s="1"/>
  <c r="AI11" i="3"/>
  <c r="AL10" i="3"/>
  <c r="AM10" i="3" s="1"/>
  <c r="AI10" i="3"/>
  <c r="AL4" i="3"/>
  <c r="AM4" i="3" s="1"/>
  <c r="AI4" i="3"/>
  <c r="AM3" i="3"/>
  <c r="AI3" i="3"/>
  <c r="AT6" i="3" l="1"/>
  <c r="AH5" i="3"/>
  <c r="AD7" i="3"/>
  <c r="AJ7" i="3" s="1"/>
  <c r="V7" i="3"/>
  <c r="AD5" i="3"/>
  <c r="AJ5" i="3" s="1"/>
  <c r="AT7" i="3"/>
  <c r="AD8" i="3"/>
  <c r="AJ8" i="3" s="1"/>
  <c r="AH6" i="3"/>
  <c r="AT5" i="3"/>
  <c r="AD6" i="3"/>
  <c r="AT8" i="3"/>
  <c r="V6" i="3"/>
  <c r="Y8" i="3"/>
  <c r="Y7" i="3"/>
  <c r="AP8" i="3"/>
  <c r="AO8" i="3" s="1"/>
  <c r="AC8" i="3"/>
  <c r="Y6" i="3"/>
  <c r="AA8" i="3"/>
  <c r="AP7" i="3"/>
  <c r="AO7" i="3" s="1"/>
  <c r="AC7" i="3"/>
  <c r="V8" i="3"/>
  <c r="Y5" i="3"/>
  <c r="AA7" i="3"/>
  <c r="AP6" i="3"/>
  <c r="AO6" i="3" s="1"/>
  <c r="AC6" i="3"/>
  <c r="V5" i="3"/>
  <c r="AA6" i="3"/>
  <c r="AP5" i="3"/>
  <c r="AO5" i="3" s="1"/>
  <c r="AC5" i="3"/>
  <c r="AA5" i="3"/>
  <c r="Z5" i="3" s="1"/>
  <c r="AH8" i="3"/>
  <c r="AH9" i="3"/>
  <c r="AH7" i="3"/>
  <c r="Z149" i="4"/>
  <c r="Y149" i="4"/>
  <c r="AJ149" i="4"/>
  <c r="AF149" i="4"/>
  <c r="Z151" i="4"/>
  <c r="Y151" i="4"/>
  <c r="AJ151" i="4"/>
  <c r="AF151" i="4"/>
  <c r="Z148" i="4"/>
  <c r="Y148" i="4"/>
  <c r="AJ148" i="4"/>
  <c r="AF148" i="4"/>
  <c r="Z150" i="4"/>
  <c r="Y150" i="4"/>
  <c r="AJ150" i="4"/>
  <c r="AF150" i="4"/>
  <c r="Z152" i="4"/>
  <c r="Y152" i="4"/>
  <c r="AJ152" i="4"/>
  <c r="AF152" i="4"/>
  <c r="Z136" i="4"/>
  <c r="Y136" i="4"/>
  <c r="AJ136" i="4"/>
  <c r="AF136" i="4"/>
  <c r="Z138" i="4"/>
  <c r="Y138" i="4"/>
  <c r="AJ138" i="4"/>
  <c r="AF138" i="4"/>
  <c r="Z137" i="4"/>
  <c r="Y137" i="4"/>
  <c r="AJ137" i="4"/>
  <c r="AF137" i="4"/>
  <c r="Z139" i="4"/>
  <c r="Y139" i="4"/>
  <c r="AJ139" i="4"/>
  <c r="AF139" i="4"/>
  <c r="Z135" i="4"/>
  <c r="Y135" i="4"/>
  <c r="AJ135" i="4"/>
  <c r="AF135" i="4"/>
  <c r="Z125" i="4"/>
  <c r="Y125" i="4"/>
  <c r="AF125" i="4"/>
  <c r="AJ125" i="4"/>
  <c r="Z124" i="4"/>
  <c r="Y124" i="4"/>
  <c r="AF124" i="4"/>
  <c r="AJ124" i="4"/>
  <c r="Z123" i="4"/>
  <c r="Y123" i="4"/>
  <c r="AF123" i="4"/>
  <c r="AJ123" i="4"/>
  <c r="Z126" i="4"/>
  <c r="Y126" i="4"/>
  <c r="AF126" i="4"/>
  <c r="AJ126" i="4"/>
  <c r="Z122" i="4"/>
  <c r="Y122" i="4"/>
  <c r="AJ122" i="4"/>
  <c r="AF122" i="4"/>
  <c r="Z112" i="4"/>
  <c r="Y112" i="4"/>
  <c r="AF112" i="4"/>
  <c r="AJ112" i="4"/>
  <c r="Z111" i="4"/>
  <c r="Y111" i="4"/>
  <c r="AF111" i="4"/>
  <c r="AJ111" i="4"/>
  <c r="Z113" i="4"/>
  <c r="Y113" i="4"/>
  <c r="AJ113" i="4"/>
  <c r="AF113" i="4"/>
  <c r="Z109" i="4"/>
  <c r="Y109" i="4"/>
  <c r="AJ109" i="4"/>
  <c r="AF109" i="4"/>
  <c r="Z110" i="4"/>
  <c r="Y110" i="4"/>
  <c r="AJ110" i="4"/>
  <c r="AF110" i="4"/>
  <c r="Z99" i="4"/>
  <c r="Y99" i="4"/>
  <c r="AJ99" i="4"/>
  <c r="AF99" i="4"/>
  <c r="Z96" i="4"/>
  <c r="Y96" i="4"/>
  <c r="AF96" i="4"/>
  <c r="AJ96" i="4"/>
  <c r="Z100" i="4"/>
  <c r="Y100" i="4"/>
  <c r="AJ100" i="4"/>
  <c r="AF100" i="4"/>
  <c r="Z97" i="4"/>
  <c r="AF97" i="4"/>
  <c r="Y97" i="4"/>
  <c r="AJ97" i="4"/>
  <c r="Z98" i="4"/>
  <c r="Y98" i="4"/>
  <c r="AF98" i="4"/>
  <c r="AJ98" i="4"/>
  <c r="Y85" i="4"/>
  <c r="AJ85" i="4"/>
  <c r="AF85" i="4"/>
  <c r="Z85" i="4"/>
  <c r="Y87" i="4"/>
  <c r="AJ87" i="4"/>
  <c r="AF87" i="4"/>
  <c r="Z87" i="4"/>
  <c r="Y84" i="4"/>
  <c r="Z84" i="4"/>
  <c r="AJ84" i="4"/>
  <c r="AF84" i="4"/>
  <c r="Y86" i="4"/>
  <c r="AJ86" i="4"/>
  <c r="Z86" i="4"/>
  <c r="AF86" i="4"/>
  <c r="Y83" i="4"/>
  <c r="AJ83" i="4"/>
  <c r="AF83" i="4"/>
  <c r="Z83" i="4"/>
  <c r="Z74" i="4"/>
  <c r="Y74" i="4"/>
  <c r="AF74" i="4"/>
  <c r="AJ74" i="4"/>
  <c r="Z72" i="4"/>
  <c r="Y72" i="4"/>
  <c r="AJ72" i="4"/>
  <c r="AF72" i="4"/>
  <c r="Z73" i="4"/>
  <c r="Y73" i="4"/>
  <c r="AJ73" i="4"/>
  <c r="AF73" i="4"/>
  <c r="Z70" i="4"/>
  <c r="Y70" i="4"/>
  <c r="AF70" i="4"/>
  <c r="AJ70" i="4"/>
  <c r="Z71" i="4"/>
  <c r="Y71" i="4"/>
  <c r="AF71" i="4"/>
  <c r="AJ71" i="4"/>
  <c r="AI65" i="4"/>
  <c r="Z57" i="4"/>
  <c r="Y57" i="4"/>
  <c r="AJ57" i="4"/>
  <c r="AF57" i="4"/>
  <c r="Z59" i="4"/>
  <c r="Y59" i="4"/>
  <c r="AJ59" i="4"/>
  <c r="AF59" i="4"/>
  <c r="Z60" i="4"/>
  <c r="Y60" i="4"/>
  <c r="AJ60" i="4"/>
  <c r="AF60" i="4"/>
  <c r="Z61" i="4"/>
  <c r="Y61" i="4"/>
  <c r="AJ61" i="4"/>
  <c r="AF61" i="4"/>
  <c r="Z58" i="4"/>
  <c r="Y58" i="4"/>
  <c r="AJ58" i="4"/>
  <c r="AF58" i="4"/>
  <c r="Z43" i="4"/>
  <c r="Y43" i="4"/>
  <c r="AF43" i="4"/>
  <c r="AJ43" i="4"/>
  <c r="Z45" i="4"/>
  <c r="AF45" i="4"/>
  <c r="Y45" i="4"/>
  <c r="AJ45" i="4"/>
  <c r="Z47" i="4"/>
  <c r="AF47" i="4"/>
  <c r="Y47" i="4"/>
  <c r="AJ47" i="4"/>
  <c r="Z46" i="4"/>
  <c r="Y46" i="4"/>
  <c r="AF46" i="4"/>
  <c r="AJ46" i="4"/>
  <c r="Z44" i="4"/>
  <c r="AF44" i="4"/>
  <c r="Y44" i="4"/>
  <c r="AJ44" i="4"/>
  <c r="Z31" i="4"/>
  <c r="Y31" i="4"/>
  <c r="AJ31" i="4"/>
  <c r="AF31" i="4"/>
  <c r="Z33" i="4"/>
  <c r="Y33" i="4"/>
  <c r="AJ33" i="4"/>
  <c r="AF33" i="4"/>
  <c r="Z35" i="4"/>
  <c r="Y35" i="4"/>
  <c r="AJ35" i="4"/>
  <c r="AF35" i="4"/>
  <c r="Z32" i="4"/>
  <c r="AF32" i="4"/>
  <c r="Y32" i="4"/>
  <c r="AJ32" i="4"/>
  <c r="Z34" i="4"/>
  <c r="Y34" i="4"/>
  <c r="AJ34" i="4"/>
  <c r="AF34" i="4"/>
  <c r="Z19" i="4"/>
  <c r="Y19" i="4"/>
  <c r="AJ19" i="4"/>
  <c r="AF19" i="4"/>
  <c r="Z21" i="4"/>
  <c r="Y21" i="4"/>
  <c r="AJ21" i="4"/>
  <c r="AF21" i="4"/>
  <c r="Z18" i="4"/>
  <c r="Y18" i="4"/>
  <c r="AJ18" i="4"/>
  <c r="AF18" i="4"/>
  <c r="Z20" i="4"/>
  <c r="Y20" i="4"/>
  <c r="AJ20" i="4"/>
  <c r="AF20" i="4"/>
  <c r="Z22" i="4"/>
  <c r="Y22" i="4"/>
  <c r="AJ22" i="4"/>
  <c r="AF22" i="4"/>
  <c r="Z9" i="4"/>
  <c r="Y9" i="4"/>
  <c r="AJ9" i="4"/>
  <c r="AF9" i="4"/>
  <c r="Z7" i="4"/>
  <c r="Y7" i="4"/>
  <c r="AF7" i="4"/>
  <c r="AJ7" i="4"/>
  <c r="Z6" i="4"/>
  <c r="Y6" i="4"/>
  <c r="AJ6" i="4"/>
  <c r="AF6" i="4"/>
  <c r="Z8" i="4"/>
  <c r="Y8" i="4"/>
  <c r="AJ8" i="4"/>
  <c r="AF8" i="4"/>
  <c r="Z5" i="4"/>
  <c r="AF5" i="4"/>
  <c r="Y5" i="4"/>
  <c r="AJ5" i="4"/>
  <c r="I78" i="4"/>
  <c r="I130" i="4"/>
  <c r="N130" i="4"/>
  <c r="I65" i="4"/>
  <c r="N68" i="4"/>
  <c r="P68" i="4" s="1"/>
  <c r="R68" i="4" s="1"/>
  <c r="S68" i="4" s="1"/>
  <c r="I13" i="4"/>
  <c r="I156" i="4"/>
  <c r="I104" i="4"/>
  <c r="I143" i="4"/>
  <c r="N154" i="4"/>
  <c r="P154" i="4" s="1"/>
  <c r="R154" i="4" s="1"/>
  <c r="S154" i="4" s="1"/>
  <c r="Y154" i="4" s="1"/>
  <c r="I26" i="4"/>
  <c r="I39" i="4"/>
  <c r="I117" i="4"/>
  <c r="P146" i="4"/>
  <c r="P133" i="4"/>
  <c r="N143" i="4"/>
  <c r="R120" i="4"/>
  <c r="S120" i="4" s="1"/>
  <c r="P128" i="4"/>
  <c r="R128" i="4" s="1"/>
  <c r="S128" i="4" s="1"/>
  <c r="R108" i="4"/>
  <c r="S108" i="4" s="1"/>
  <c r="Y108" i="4" s="1"/>
  <c r="P117" i="4"/>
  <c r="N117" i="4"/>
  <c r="Z101" i="4"/>
  <c r="N104" i="4"/>
  <c r="P104" i="4"/>
  <c r="N65" i="4"/>
  <c r="P65" i="4"/>
  <c r="N29" i="4"/>
  <c r="P16" i="4"/>
  <c r="N26" i="4"/>
  <c r="P24" i="4"/>
  <c r="P4" i="4"/>
  <c r="N13" i="4"/>
  <c r="P17" i="4"/>
  <c r="AE143" i="4"/>
  <c r="V117" i="4"/>
  <c r="V26" i="4"/>
  <c r="AI11" i="4"/>
  <c r="AE12" i="4"/>
  <c r="AE4" i="4"/>
  <c r="V13" i="4"/>
  <c r="AJ76" i="4"/>
  <c r="AF76" i="4"/>
  <c r="Z76" i="4"/>
  <c r="Y76" i="4"/>
  <c r="AE39" i="4"/>
  <c r="AI29" i="4"/>
  <c r="Z23" i="4"/>
  <c r="Y23" i="4"/>
  <c r="AJ23" i="4"/>
  <c r="AF23" i="4"/>
  <c r="R38" i="4"/>
  <c r="S38" i="4" s="1"/>
  <c r="AJ69" i="4"/>
  <c r="AF69" i="4"/>
  <c r="Z69" i="4"/>
  <c r="Y69" i="4"/>
  <c r="AF147" i="4"/>
  <c r="Z147" i="4"/>
  <c r="Y147" i="4"/>
  <c r="AJ147" i="4"/>
  <c r="AI36" i="4"/>
  <c r="Z129" i="4"/>
  <c r="Y129" i="4"/>
  <c r="AJ129" i="4"/>
  <c r="AF129" i="4"/>
  <c r="Z140" i="4"/>
  <c r="Y140" i="4"/>
  <c r="AJ140" i="4"/>
  <c r="AF140" i="4"/>
  <c r="Z142" i="4"/>
  <c r="Y142" i="4"/>
  <c r="AJ142" i="4"/>
  <c r="AF142" i="4"/>
  <c r="Z127" i="4"/>
  <c r="Y127" i="4"/>
  <c r="AJ127" i="4"/>
  <c r="AF127" i="4"/>
  <c r="AI38" i="4"/>
  <c r="Z12" i="4"/>
  <c r="Y12" i="4"/>
  <c r="Z30" i="4"/>
  <c r="Y30" i="4"/>
  <c r="AF30" i="4"/>
  <c r="R37" i="4"/>
  <c r="S37" i="4" s="1"/>
  <c r="AJ75" i="4"/>
  <c r="AF75" i="4"/>
  <c r="Z75" i="4"/>
  <c r="Y75" i="4"/>
  <c r="AF153" i="4"/>
  <c r="Z153" i="4"/>
  <c r="Y153" i="4"/>
  <c r="AJ153" i="4"/>
  <c r="Z141" i="4"/>
  <c r="Y141" i="4"/>
  <c r="AJ141" i="4"/>
  <c r="AF141" i="4"/>
  <c r="Z36" i="4"/>
  <c r="Y36" i="4"/>
  <c r="AF36" i="4"/>
  <c r="Z56" i="4"/>
  <c r="Y56" i="4"/>
  <c r="AJ56" i="4"/>
  <c r="AF56" i="4"/>
  <c r="Z121" i="4"/>
  <c r="Y121" i="4"/>
  <c r="AJ121" i="4"/>
  <c r="AF121" i="4"/>
  <c r="AI30" i="4"/>
  <c r="R65" i="4"/>
  <c r="S65" i="4" s="1"/>
  <c r="AJ62" i="4"/>
  <c r="AF62" i="4"/>
  <c r="Z62" i="4"/>
  <c r="Y62" i="4"/>
  <c r="AJ64" i="4"/>
  <c r="AF64" i="4"/>
  <c r="Z64" i="4"/>
  <c r="Y64" i="4"/>
  <c r="AJ77" i="4"/>
  <c r="AF77" i="4"/>
  <c r="Y77" i="4"/>
  <c r="Z77" i="4"/>
  <c r="AF155" i="4"/>
  <c r="Z155" i="4"/>
  <c r="Y155" i="4"/>
  <c r="AJ155" i="4"/>
  <c r="Z134" i="4"/>
  <c r="Y134" i="4"/>
  <c r="AJ134" i="4"/>
  <c r="AF134" i="4"/>
  <c r="Z25" i="4"/>
  <c r="Y25" i="4"/>
  <c r="AJ25" i="4"/>
  <c r="AF25" i="4"/>
  <c r="Z63" i="4"/>
  <c r="Y63" i="4"/>
  <c r="AJ63" i="4"/>
  <c r="AF63" i="4"/>
  <c r="Z116" i="4"/>
  <c r="Y116" i="4"/>
  <c r="AJ116" i="4"/>
  <c r="AF116" i="4"/>
  <c r="Z114" i="4"/>
  <c r="Y114" i="4"/>
  <c r="AJ114" i="4"/>
  <c r="AF114" i="4"/>
  <c r="AE16" i="4"/>
  <c r="AE26" i="4" s="1"/>
  <c r="Y95" i="4"/>
  <c r="AJ95" i="4"/>
  <c r="AF95" i="4"/>
  <c r="R104" i="4"/>
  <c r="S104" i="4" s="1"/>
  <c r="Z115" i="4"/>
  <c r="Y115" i="4"/>
  <c r="AJ115" i="4"/>
  <c r="AF115" i="4"/>
  <c r="AE130" i="4"/>
  <c r="AI120" i="4"/>
  <c r="AI130" i="4" s="1"/>
  <c r="AE3" i="4"/>
  <c r="AE117" i="4"/>
  <c r="AI107" i="4"/>
  <c r="AI117" i="4" s="1"/>
  <c r="V65" i="4"/>
  <c r="Y94" i="4"/>
  <c r="Z95" i="4"/>
  <c r="Y103" i="4"/>
  <c r="AJ103" i="4"/>
  <c r="AF103" i="4"/>
  <c r="V104" i="4"/>
  <c r="AE94" i="4"/>
  <c r="Z94" i="4"/>
  <c r="Y102" i="4"/>
  <c r="AJ102" i="4"/>
  <c r="AF102" i="4"/>
  <c r="Z103" i="4"/>
  <c r="AE65" i="4"/>
  <c r="V78" i="4"/>
  <c r="AE68" i="4"/>
  <c r="Y101" i="4"/>
  <c r="AJ101" i="4"/>
  <c r="AF101" i="4"/>
  <c r="Z102" i="4"/>
  <c r="AI133" i="4"/>
  <c r="AI143" i="4" s="1"/>
  <c r="AE146" i="4"/>
  <c r="U7" i="3" l="1"/>
  <c r="AK5" i="3"/>
  <c r="AU6" i="3"/>
  <c r="Z7" i="3"/>
  <c r="Z6" i="3"/>
  <c r="Z8" i="3"/>
  <c r="AQ6" i="3"/>
  <c r="AK7" i="3"/>
  <c r="AK6" i="3"/>
  <c r="AK8" i="3"/>
  <c r="AJ6" i="3"/>
  <c r="AB7" i="3"/>
  <c r="AQ8" i="3"/>
  <c r="AB6" i="3"/>
  <c r="AU5" i="3"/>
  <c r="AB8" i="3"/>
  <c r="AQ5" i="3"/>
  <c r="AB5" i="3"/>
  <c r="U5" i="3"/>
  <c r="AU7" i="3"/>
  <c r="AU8" i="3"/>
  <c r="AQ7" i="3"/>
  <c r="U8" i="3"/>
  <c r="AS5" i="3"/>
  <c r="AI3" i="4"/>
  <c r="AJ3" i="4" s="1"/>
  <c r="U6" i="3"/>
  <c r="AS7" i="3"/>
  <c r="AI4" i="4"/>
  <c r="R4" i="4"/>
  <c r="R13" i="4" s="1"/>
  <c r="S13" i="4" s="1"/>
  <c r="AS8" i="3"/>
  <c r="AI12" i="4"/>
  <c r="R24" i="4"/>
  <c r="AS6" i="3"/>
  <c r="AI39" i="4"/>
  <c r="AH39" i="4" s="1"/>
  <c r="AD143" i="4"/>
  <c r="Z108" i="4"/>
  <c r="AF154" i="4"/>
  <c r="Z128" i="4"/>
  <c r="H65" i="4"/>
  <c r="Z154" i="4"/>
  <c r="H143" i="4"/>
  <c r="H13" i="4"/>
  <c r="N78" i="4"/>
  <c r="H78" i="4" s="1"/>
  <c r="H130" i="4"/>
  <c r="H104" i="4"/>
  <c r="AH143" i="4"/>
  <c r="AJ154" i="4"/>
  <c r="AF128" i="4"/>
  <c r="R117" i="4"/>
  <c r="S117" i="4" s="1"/>
  <c r="AF117" i="4" s="1"/>
  <c r="AF108" i="4"/>
  <c r="AJ108" i="4"/>
  <c r="AJ128" i="4"/>
  <c r="P78" i="4"/>
  <c r="R78" i="4"/>
  <c r="S78" i="4" s="1"/>
  <c r="Y78" i="4" s="1"/>
  <c r="H26" i="4"/>
  <c r="N156" i="4"/>
  <c r="H156" i="4" s="1"/>
  <c r="H117" i="4"/>
  <c r="R146" i="4"/>
  <c r="P156" i="4"/>
  <c r="R133" i="4"/>
  <c r="P143" i="4"/>
  <c r="Y128" i="4"/>
  <c r="R130" i="4"/>
  <c r="S130" i="4" s="1"/>
  <c r="P130" i="4"/>
  <c r="P29" i="4"/>
  <c r="N39" i="4"/>
  <c r="H39" i="4" s="1"/>
  <c r="R16" i="4"/>
  <c r="P26" i="4"/>
  <c r="P13" i="4"/>
  <c r="R17" i="4"/>
  <c r="S17" i="4" s="1"/>
  <c r="AF12" i="4"/>
  <c r="AI16" i="4"/>
  <c r="AI26" i="4" s="1"/>
  <c r="AH26" i="4" s="1"/>
  <c r="AE13" i="4"/>
  <c r="Y65" i="4"/>
  <c r="AJ65" i="4"/>
  <c r="AF65" i="4"/>
  <c r="Z65" i="4"/>
  <c r="AE156" i="4"/>
  <c r="AI146" i="4"/>
  <c r="AI156" i="4" s="1"/>
  <c r="AH130" i="4"/>
  <c r="AD130" i="4"/>
  <c r="Z104" i="4"/>
  <c r="Y104" i="4"/>
  <c r="AD26" i="4"/>
  <c r="AJ55" i="4"/>
  <c r="AF55" i="4"/>
  <c r="Z55" i="4"/>
  <c r="Y55" i="4"/>
  <c r="Z3" i="4"/>
  <c r="Y3" i="4"/>
  <c r="AF3" i="4"/>
  <c r="AJ30" i="4"/>
  <c r="AI68" i="4"/>
  <c r="AE78" i="4"/>
  <c r="Z120" i="4"/>
  <c r="Y120" i="4"/>
  <c r="AJ120" i="4"/>
  <c r="AF120" i="4"/>
  <c r="AE104" i="4"/>
  <c r="AI94" i="4"/>
  <c r="AJ36" i="4"/>
  <c r="AD39" i="4"/>
  <c r="AF94" i="4"/>
  <c r="AF68" i="4"/>
  <c r="Y68" i="4"/>
  <c r="Z68" i="4"/>
  <c r="AD117" i="4"/>
  <c r="AH117" i="4"/>
  <c r="Z10" i="4"/>
  <c r="Y10" i="4"/>
  <c r="AJ10" i="4"/>
  <c r="AF10" i="4"/>
  <c r="Z37" i="4"/>
  <c r="Y37" i="4"/>
  <c r="AJ37" i="4"/>
  <c r="AF37" i="4"/>
  <c r="Z11" i="4"/>
  <c r="Y11" i="4"/>
  <c r="AJ11" i="4"/>
  <c r="AF11" i="4"/>
  <c r="AH65" i="4"/>
  <c r="AD65" i="4"/>
  <c r="Z107" i="4"/>
  <c r="Y107" i="4"/>
  <c r="AJ107" i="4"/>
  <c r="AF107" i="4"/>
  <c r="AI13" i="4" l="1"/>
  <c r="AJ13" i="4" s="1"/>
  <c r="AJ12" i="4"/>
  <c r="S16" i="4"/>
  <c r="Z16" i="4" s="1"/>
  <c r="T151" i="4"/>
  <c r="T148" i="4"/>
  <c r="T149" i="4"/>
  <c r="T150" i="4"/>
  <c r="T152" i="4"/>
  <c r="S4" i="4"/>
  <c r="T4" i="4" s="1"/>
  <c r="S24" i="4"/>
  <c r="T137" i="4"/>
  <c r="T139" i="4"/>
  <c r="T138" i="4"/>
  <c r="T136" i="4"/>
  <c r="T135" i="4"/>
  <c r="T122" i="4"/>
  <c r="T126" i="4"/>
  <c r="T124" i="4"/>
  <c r="T123" i="4"/>
  <c r="T125" i="4"/>
  <c r="T110" i="4"/>
  <c r="T109" i="4"/>
  <c r="T113" i="4"/>
  <c r="T111" i="4"/>
  <c r="T112" i="4"/>
  <c r="AJ94" i="4"/>
  <c r="AI104" i="4"/>
  <c r="AJ104" i="4" s="1"/>
  <c r="T98" i="4"/>
  <c r="T100" i="4"/>
  <c r="T97" i="4"/>
  <c r="T99" i="4"/>
  <c r="T96" i="4"/>
  <c r="T84" i="4"/>
  <c r="T87" i="4"/>
  <c r="T85" i="4"/>
  <c r="T83" i="4"/>
  <c r="T86" i="4"/>
  <c r="AJ68" i="4"/>
  <c r="AI78" i="4"/>
  <c r="AH78" i="4" s="1"/>
  <c r="T71" i="4"/>
  <c r="T72" i="4"/>
  <c r="T70" i="4"/>
  <c r="T73" i="4"/>
  <c r="T74" i="4"/>
  <c r="T58" i="4"/>
  <c r="T61" i="4"/>
  <c r="T60" i="4"/>
  <c r="T59" i="4"/>
  <c r="T57" i="4"/>
  <c r="T46" i="4"/>
  <c r="T44" i="4"/>
  <c r="T43" i="4"/>
  <c r="T47" i="4"/>
  <c r="T45" i="4"/>
  <c r="T34" i="4"/>
  <c r="T35" i="4"/>
  <c r="T31" i="4"/>
  <c r="T32" i="4"/>
  <c r="T33" i="4"/>
  <c r="AJ117" i="4"/>
  <c r="T22" i="4"/>
  <c r="T20" i="4"/>
  <c r="T18" i="4"/>
  <c r="T21" i="4"/>
  <c r="T19" i="4"/>
  <c r="T8" i="4"/>
  <c r="T6" i="4"/>
  <c r="T7" i="4"/>
  <c r="T9" i="4"/>
  <c r="Z13" i="4"/>
  <c r="T5" i="4"/>
  <c r="AJ16" i="4"/>
  <c r="Z117" i="4"/>
  <c r="Y117" i="4"/>
  <c r="Z78" i="4"/>
  <c r="AF130" i="4"/>
  <c r="AF16" i="4"/>
  <c r="AJ130" i="4"/>
  <c r="Y16" i="4"/>
  <c r="Y130" i="4"/>
  <c r="Z130" i="4"/>
  <c r="S146" i="4"/>
  <c r="T146" i="4" s="1"/>
  <c r="R156" i="4"/>
  <c r="S156" i="4" s="1"/>
  <c r="AF156" i="4" s="1"/>
  <c r="S133" i="4"/>
  <c r="T133" i="4" s="1"/>
  <c r="R143" i="4"/>
  <c r="S143" i="4" s="1"/>
  <c r="P39" i="4"/>
  <c r="R29" i="4"/>
  <c r="T63" i="4"/>
  <c r="T11" i="4"/>
  <c r="T101" i="4"/>
  <c r="T147" i="4"/>
  <c r="T55" i="4"/>
  <c r="T108" i="4"/>
  <c r="AF13" i="4"/>
  <c r="T95" i="4"/>
  <c r="T62" i="4"/>
  <c r="T127" i="4"/>
  <c r="T142" i="4"/>
  <c r="T76" i="4"/>
  <c r="T64" i="4"/>
  <c r="T129" i="4"/>
  <c r="T128" i="4"/>
  <c r="T69" i="4"/>
  <c r="T25" i="4"/>
  <c r="T153" i="4"/>
  <c r="T10" i="4"/>
  <c r="T120" i="4"/>
  <c r="T16" i="4"/>
  <c r="T23" i="4"/>
  <c r="T75" i="4"/>
  <c r="T94" i="4"/>
  <c r="T121" i="4"/>
  <c r="T115" i="4"/>
  <c r="T141" i="4"/>
  <c r="T3" i="4"/>
  <c r="T30" i="4"/>
  <c r="T155" i="4"/>
  <c r="T114" i="4"/>
  <c r="T77" i="4"/>
  <c r="T140" i="4"/>
  <c r="Y13" i="4"/>
  <c r="T116" i="4"/>
  <c r="T37" i="4"/>
  <c r="T68" i="4"/>
  <c r="T102" i="4"/>
  <c r="T107" i="4"/>
  <c r="T56" i="4"/>
  <c r="T103" i="4"/>
  <c r="T24" i="4"/>
  <c r="T134" i="4"/>
  <c r="T12" i="4"/>
  <c r="T154" i="4"/>
  <c r="T36" i="4"/>
  <c r="R26" i="4"/>
  <c r="S26" i="4" s="1"/>
  <c r="AD104" i="4"/>
  <c r="AH156" i="4"/>
  <c r="AD156" i="4"/>
  <c r="Z38" i="4"/>
  <c r="Y38" i="4"/>
  <c r="AJ38" i="4"/>
  <c r="T38" i="4"/>
  <c r="AF38" i="4"/>
  <c r="AD78" i="4"/>
  <c r="AF78" i="4"/>
  <c r="AF104" i="4"/>
  <c r="AD13" i="4"/>
  <c r="AH13" i="4" l="1"/>
  <c r="Z24" i="4"/>
  <c r="AF24" i="4"/>
  <c r="AJ24" i="4"/>
  <c r="Y24" i="4"/>
  <c r="Y4" i="4"/>
  <c r="Z4" i="4"/>
  <c r="AJ4" i="4"/>
  <c r="AF4" i="4"/>
  <c r="AH104" i="4"/>
  <c r="AJ78" i="4"/>
  <c r="Y156" i="4"/>
  <c r="AJ156" i="4"/>
  <c r="Z156" i="4"/>
  <c r="Y146" i="4"/>
  <c r="AF146" i="4"/>
  <c r="Z146" i="4"/>
  <c r="AJ146" i="4"/>
  <c r="Z143" i="4"/>
  <c r="AJ143" i="4"/>
  <c r="Y143" i="4"/>
  <c r="AF143" i="4"/>
  <c r="Y133" i="4"/>
  <c r="Z133" i="4"/>
  <c r="AJ133" i="4"/>
  <c r="AF133" i="4"/>
  <c r="S29" i="4"/>
  <c r="R39" i="4"/>
  <c r="S39" i="4" s="1"/>
  <c r="Y17" i="4"/>
  <c r="T17" i="4"/>
  <c r="AF17" i="4"/>
  <c r="Z17" i="4"/>
  <c r="AJ17" i="4"/>
  <c r="AJ26" i="4"/>
  <c r="Z26" i="4"/>
  <c r="Y26" i="4"/>
  <c r="AF26" i="4"/>
  <c r="Z39" i="4" l="1"/>
  <c r="Y39" i="4"/>
  <c r="AJ39" i="4"/>
  <c r="AF39" i="4"/>
  <c r="AF29" i="4"/>
  <c r="Y29" i="4"/>
  <c r="Z29" i="4"/>
  <c r="T29" i="4"/>
  <c r="AJ29" i="4"/>
  <c r="AE48" i="4"/>
  <c r="AE42" i="4"/>
  <c r="AE51" i="4"/>
  <c r="AE50" i="4"/>
  <c r="AE49" i="4"/>
  <c r="V52" i="4"/>
  <c r="I50" i="4"/>
  <c r="N50" i="4" s="1"/>
  <c r="I49" i="4"/>
  <c r="N49" i="4" s="1"/>
  <c r="I48" i="4"/>
  <c r="I51" i="4"/>
  <c r="N51" i="4" s="1"/>
  <c r="I42" i="4"/>
  <c r="AI48" i="4" l="1"/>
  <c r="AT9" i="3" s="1"/>
  <c r="AP9" i="3"/>
  <c r="AO9" i="3" s="1"/>
  <c r="N48" i="4"/>
  <c r="V9" i="3"/>
  <c r="P49" i="4"/>
  <c r="AI49" i="4"/>
  <c r="AI50" i="4"/>
  <c r="AI42" i="4"/>
  <c r="P50" i="4"/>
  <c r="I52" i="4"/>
  <c r="P51" i="4"/>
  <c r="AI51" i="4"/>
  <c r="N42" i="4"/>
  <c r="AE52" i="4"/>
  <c r="AI52" i="4" l="1"/>
  <c r="AH52" i="4" s="1"/>
  <c r="P48" i="4"/>
  <c r="Y9" i="3"/>
  <c r="R50" i="4"/>
  <c r="R49" i="4"/>
  <c r="AS9" i="3"/>
  <c r="P42" i="4"/>
  <c r="N52" i="4"/>
  <c r="H52" i="4" s="1"/>
  <c r="AD52" i="4"/>
  <c r="R51" i="4"/>
  <c r="AA9" i="3" l="1"/>
  <c r="Z9" i="3" s="1"/>
  <c r="R48" i="4"/>
  <c r="S50" i="4"/>
  <c r="AJ50" i="4" s="1"/>
  <c r="S49" i="4"/>
  <c r="U9" i="3"/>
  <c r="R42" i="4"/>
  <c r="P52" i="4"/>
  <c r="S51" i="4"/>
  <c r="AJ49" i="4" l="1"/>
  <c r="AF49" i="4"/>
  <c r="AF50" i="4"/>
  <c r="Y50" i="4"/>
  <c r="Y49" i="4"/>
  <c r="T50" i="4"/>
  <c r="T49" i="4"/>
  <c r="AC9" i="3"/>
  <c r="AB9" i="3" s="1"/>
  <c r="S48" i="4"/>
  <c r="Z49" i="4"/>
  <c r="Z50" i="4"/>
  <c r="AF51" i="4"/>
  <c r="Y51" i="4"/>
  <c r="T51" i="4"/>
  <c r="Z51" i="4"/>
  <c r="AJ51" i="4"/>
  <c r="S42" i="4"/>
  <c r="R52" i="4"/>
  <c r="S52" i="4" s="1"/>
  <c r="AD9" i="3" l="1"/>
  <c r="Z48" i="4"/>
  <c r="Y48" i="4"/>
  <c r="T48" i="4"/>
  <c r="AF48" i="4"/>
  <c r="AJ48" i="4"/>
  <c r="AF52" i="4"/>
  <c r="Z52" i="4"/>
  <c r="AJ52" i="4"/>
  <c r="Y52" i="4"/>
  <c r="AJ42" i="4"/>
  <c r="Y42" i="4"/>
  <c r="T42" i="4"/>
  <c r="Z42" i="4"/>
  <c r="AF42" i="4"/>
  <c r="AE88" i="4"/>
  <c r="AP10" i="3" s="1"/>
  <c r="AE89" i="4"/>
  <c r="AE90" i="4"/>
  <c r="AP12" i="3" s="1"/>
  <c r="AH3" i="3"/>
  <c r="AE82" i="4"/>
  <c r="AP4" i="3" s="1"/>
  <c r="AE81" i="4"/>
  <c r="I88" i="4"/>
  <c r="N88" i="4" s="1"/>
  <c r="Y10" i="3" s="1"/>
  <c r="V91" i="4"/>
  <c r="I90" i="4"/>
  <c r="N90" i="4" s="1"/>
  <c r="I81" i="4"/>
  <c r="V3" i="3" s="1"/>
  <c r="I89" i="4"/>
  <c r="N89" i="4" s="1"/>
  <c r="Y11" i="3" s="1"/>
  <c r="I82" i="4"/>
  <c r="V4" i="3" s="1"/>
  <c r="AI81" i="4" l="1"/>
  <c r="AT3" i="3" s="1"/>
  <c r="AP3" i="3"/>
  <c r="AI89" i="4"/>
  <c r="AT11" i="3" s="1"/>
  <c r="AP11" i="3"/>
  <c r="P90" i="4"/>
  <c r="AA12" i="3" s="1"/>
  <c r="Y12" i="3"/>
  <c r="AU9" i="3"/>
  <c r="AJ9" i="3"/>
  <c r="AQ9" i="3"/>
  <c r="AK9" i="3"/>
  <c r="N82" i="4"/>
  <c r="V12" i="3"/>
  <c r="AI88" i="4"/>
  <c r="V10" i="3"/>
  <c r="V11" i="3"/>
  <c r="P89" i="4"/>
  <c r="AA11" i="3" s="1"/>
  <c r="I91" i="4"/>
  <c r="N81" i="4"/>
  <c r="AO10" i="3"/>
  <c r="P88" i="4"/>
  <c r="AA10" i="3" s="1"/>
  <c r="AO4" i="3"/>
  <c r="AO12" i="3"/>
  <c r="AH11" i="3"/>
  <c r="AI82" i="4"/>
  <c r="AH12" i="3"/>
  <c r="AH4" i="3"/>
  <c r="AG13" i="3"/>
  <c r="AE91" i="4"/>
  <c r="AH10" i="3"/>
  <c r="AI90" i="4"/>
  <c r="R90" i="4" l="1"/>
  <c r="AC12" i="3" s="1"/>
  <c r="AB12" i="3" s="1"/>
  <c r="V13" i="3"/>
  <c r="Y3" i="3"/>
  <c r="Y4" i="3"/>
  <c r="U4" i="3" s="1"/>
  <c r="AT12" i="3"/>
  <c r="AT4" i="3"/>
  <c r="AT10" i="3"/>
  <c r="AI91" i="4"/>
  <c r="AH91" i="4" s="1"/>
  <c r="P82" i="4"/>
  <c r="U10" i="3"/>
  <c r="U12" i="3"/>
  <c r="AS3" i="3"/>
  <c r="AP13" i="3"/>
  <c r="AO13" i="3" s="1"/>
  <c r="AO3" i="3"/>
  <c r="U11" i="3"/>
  <c r="Z11" i="3"/>
  <c r="N91" i="4"/>
  <c r="H91" i="4" s="1"/>
  <c r="P81" i="4"/>
  <c r="AA3" i="3" s="1"/>
  <c r="R89" i="4"/>
  <c r="S90" i="4"/>
  <c r="AD12" i="3" s="1"/>
  <c r="R88" i="4"/>
  <c r="AC10" i="3" s="1"/>
  <c r="Z10" i="3"/>
  <c r="AD91" i="4"/>
  <c r="AO11" i="3"/>
  <c r="Z12" i="3"/>
  <c r="AS11" i="3"/>
  <c r="AT13" i="3" l="1"/>
  <c r="AS13" i="3" s="1"/>
  <c r="AS12" i="3"/>
  <c r="S89" i="4"/>
  <c r="AD11" i="3" s="1"/>
  <c r="AC11" i="3"/>
  <c r="AB11" i="3" s="1"/>
  <c r="AA4" i="3"/>
  <c r="Z4" i="3" s="1"/>
  <c r="AS10" i="3"/>
  <c r="Y13" i="3"/>
  <c r="U13" i="3" s="1"/>
  <c r="AS4" i="3"/>
  <c r="U3" i="3"/>
  <c r="R82" i="4"/>
  <c r="P91" i="4"/>
  <c r="R81" i="4"/>
  <c r="Z3" i="3"/>
  <c r="AB10" i="3"/>
  <c r="S88" i="4"/>
  <c r="AD10" i="3" s="1"/>
  <c r="T89" i="4"/>
  <c r="Z90" i="4"/>
  <c r="AF90" i="4"/>
  <c r="T90" i="4"/>
  <c r="Y90" i="4"/>
  <c r="AJ90" i="4"/>
  <c r="Y89" i="4" l="1"/>
  <c r="Z89" i="4"/>
  <c r="AF89" i="4"/>
  <c r="AJ89" i="4"/>
  <c r="AA13" i="3"/>
  <c r="C15" i="3" s="1"/>
  <c r="S81" i="4"/>
  <c r="AD3" i="3" s="1"/>
  <c r="AC3" i="3"/>
  <c r="S82" i="4"/>
  <c r="AD4" i="3" s="1"/>
  <c r="AC4" i="3"/>
  <c r="AB4" i="3" s="1"/>
  <c r="R91" i="4"/>
  <c r="S91" i="4" s="1"/>
  <c r="AF91" i="4" s="1"/>
  <c r="AQ11" i="3"/>
  <c r="AU11" i="3"/>
  <c r="AJ11" i="3"/>
  <c r="AK11" i="3"/>
  <c r="AJ88" i="4"/>
  <c r="AF88" i="4"/>
  <c r="Z88" i="4"/>
  <c r="T88" i="4"/>
  <c r="Y88" i="4"/>
  <c r="AQ12" i="3"/>
  <c r="AU12" i="3"/>
  <c r="AJ12" i="3"/>
  <c r="AK12" i="3"/>
  <c r="Y82" i="4" l="1"/>
  <c r="T82" i="4"/>
  <c r="Z82" i="4"/>
  <c r="Y81" i="4"/>
  <c r="AF81" i="4"/>
  <c r="AJ81" i="4"/>
  <c r="AF82" i="4"/>
  <c r="Z81" i="4"/>
  <c r="AJ82" i="4"/>
  <c r="AD13" i="3"/>
  <c r="T81" i="4"/>
  <c r="AC13" i="3"/>
  <c r="AB3" i="3"/>
  <c r="AJ91" i="4"/>
  <c r="Z91" i="4"/>
  <c r="Y91" i="4"/>
  <c r="AQ10" i="3"/>
  <c r="AJ10" i="3"/>
  <c r="AK10" i="3"/>
  <c r="AU10" i="3"/>
  <c r="AU4" i="3"/>
  <c r="AK4" i="3"/>
  <c r="AQ4" i="3"/>
  <c r="AJ4" i="3"/>
  <c r="AU3" i="3"/>
  <c r="AQ3" i="3"/>
  <c r="AK3" i="3"/>
  <c r="AJ3" i="3"/>
  <c r="AE4" i="3" l="1"/>
  <c r="AE8" i="3"/>
  <c r="AE9" i="3"/>
  <c r="AE6" i="3"/>
  <c r="AE7" i="3"/>
  <c r="AE5" i="3"/>
  <c r="C16" i="3"/>
  <c r="C17" i="3" s="1"/>
  <c r="AE3" i="3"/>
  <c r="AE10" i="3"/>
  <c r="C18" i="3"/>
  <c r="AJ13" i="3"/>
  <c r="AU13" i="3"/>
  <c r="AK13" i="3"/>
  <c r="AQ13" i="3"/>
  <c r="AE12" i="3"/>
  <c r="AE11" i="3"/>
  <c r="C19" i="3" l="1"/>
  <c r="C22" i="3" s="1"/>
</calcChain>
</file>

<file path=xl/sharedStrings.xml><?xml version="1.0" encoding="utf-8"?>
<sst xmlns="http://schemas.openxmlformats.org/spreadsheetml/2006/main" count="927" uniqueCount="71">
  <si>
    <t>Рекламная система</t>
  </si>
  <si>
    <t>Рекламный формат, размер,
вид размещения</t>
  </si>
  <si>
    <t>Таргетинги</t>
  </si>
  <si>
    <t>Период</t>
  </si>
  <si>
    <t>Модель закупки</t>
  </si>
  <si>
    <t>Стоимость единицы закупки
(без НДС)</t>
  </si>
  <si>
    <t>Кол-во
единиц закупки</t>
  </si>
  <si>
    <t>Стоимость
(без НДС)</t>
  </si>
  <si>
    <t>СК, %</t>
  </si>
  <si>
    <t>Стоимость с учетом СК
(без НДС)</t>
  </si>
  <si>
    <t>АК, %</t>
  </si>
  <si>
    <t>Итоговая стоимость
(без НДС)</t>
  </si>
  <si>
    <t>Итоговая стоимость
(с НДС)</t>
  </si>
  <si>
    <t>Доля рекламного бюджета, %</t>
  </si>
  <si>
    <t xml:space="preserve">Показы </t>
  </si>
  <si>
    <t>Частота
(весь срок)</t>
  </si>
  <si>
    <t>Охват</t>
  </si>
  <si>
    <t>CPM
(с НДС)</t>
  </si>
  <si>
    <t>CPT
(с НДС)</t>
  </si>
  <si>
    <t>Доступная емкость аудитории</t>
  </si>
  <si>
    <t>SOV, %</t>
  </si>
  <si>
    <t>CTR, %</t>
  </si>
  <si>
    <t xml:space="preserve">Клики </t>
  </si>
  <si>
    <t>CPC
(с НДС)</t>
  </si>
  <si>
    <t>CR, %</t>
  </si>
  <si>
    <t>Конверсии</t>
  </si>
  <si>
    <t>CPA
(с НДС)</t>
  </si>
  <si>
    <t>CPC</t>
  </si>
  <si>
    <t>Итого</t>
  </si>
  <si>
    <t>-</t>
  </si>
  <si>
    <t>Медиабюджет до НДС</t>
  </si>
  <si>
    <t>Агентская комиссия до НДС</t>
  </si>
  <si>
    <t>Медиабюджет с АК до НДС</t>
  </si>
  <si>
    <t>НДС</t>
  </si>
  <si>
    <t>Медиабюджет с АК и НДС</t>
  </si>
  <si>
    <t>Разработка креативов</t>
  </si>
  <si>
    <t>Настройка аналитики</t>
  </si>
  <si>
    <t>Итого с АК и НДС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</si>
  <si>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</si>
  <si>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</si>
  <si>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</si>
  <si>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</si>
  <si>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</si>
  <si>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</si>
  <si>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</si>
  <si>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</si>
  <si>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</si>
  <si>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</si>
  <si>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</si>
  <si>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</si>
  <si>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Единица измерения стоимости</t>
  </si>
  <si>
    <t>Цена за единицу
(без НДС)</t>
  </si>
  <si>
    <t>Кол-во
единиц</t>
  </si>
  <si>
    <t>CPL
(с НДС)</t>
  </si>
  <si>
    <t>01.01.2026 - 31.01.2026</t>
  </si>
  <si>
    <t>01.02.2026 - 28.02.2026</t>
  </si>
  <si>
    <t>01.03.2026 - 31.03.2026</t>
  </si>
  <si>
    <t>01.04.2026 - 30.04.2026</t>
  </si>
  <si>
    <t>01.05.2026 - 31.05.2026</t>
  </si>
  <si>
    <t>01.06.2026 - 30.06.2026</t>
  </si>
  <si>
    <t>01.07.2026 - 31.07.2026</t>
  </si>
  <si>
    <t>01.08.2026 - 31.08.2026</t>
  </si>
  <si>
    <t>01.09.2026 - 30.09.2026</t>
  </si>
  <si>
    <t>01.10.2026 - 31.10.2026</t>
  </si>
  <si>
    <t>01.11.2026 - 30.11.2026</t>
  </si>
  <si>
    <t>01.12.2026 - 31.12.2026</t>
  </si>
  <si>
    <t>ЦО</t>
  </si>
  <si>
    <t>CPQL
(с НДС)</t>
  </si>
  <si>
    <t>ГЕО</t>
  </si>
  <si>
    <t>Сезонный коэф.</t>
  </si>
  <si>
    <t>Другое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</si>
</sst>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р.&quot;"/>
    <numFmt numFmtId="165" formatCode="#,##0&quot;р.&quot;"/>
  </numFmts>
  <fonts count="6" x14ac:knownFonts="1">
    <font>
      <sz val="10"/>
      <color rgb="FF000000"/>
      <name val="Calibri"/>
      <scheme val="minor"/>
    </font>
    <font>
      <sz val="9"/>
      <color theme="0"/>
      <name val="Arial"/>
    </font>
    <font>
      <sz val="9"/>
      <color rgb="FFFFFFFF"/>
      <name val="Arial"/>
    </font>
    <font>
      <sz val="9"/>
      <color theme="1"/>
      <name val="Arial"/>
    </font>
    <font>
      <sz val="9"/>
      <color theme="0"/>
      <name val="Arial"/>
      <family val="2"/>
      <charset val="204"/>
    </font>
    <font>
      <sz val="9"/>
      <color rgb="FFFFFFFF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rgb="FFB7B7B7"/>
      </patternFill>
    </fill>
    <fill>
      <patternFill patternType="solid">
        <fgColor theme="0" tint="-0.249977111117893"/>
        <bgColor rgb="FFF3F3F3"/>
      </patternFill>
    </fill>
    <fill>
      <patternFill patternType="solid">
        <fgColor theme="0" tint="-4.9989318521683403E-2"/>
        <bgColor rgb="FFFFFF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2">
    <xf numFmtId="0" fontId="0" fillId="0" borderId="0" xfId="0"/>
    <xf numFmtId="2" fontId="1" fillId="2" borderId="2" xfId="0" applyNumberFormat="1" applyFont="1" applyFill="1" applyBorder="1" applyAlignment="1">
      <alignment horizontal="center" vertical="center" wrapText="1"/>
    </xf>
    <xf numFmtId="2" fontId="1" fillId="3" borderId="2" xfId="0" applyNumberFormat="1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" fontId="1" fillId="3" borderId="2" xfId="0" applyNumberFormat="1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65" fontId="3" fillId="5" borderId="2" xfId="0" applyNumberFormat="1" applyFont="1" applyFill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10" fontId="3" fillId="4" borderId="2" xfId="0" applyNumberFormat="1" applyFont="1" applyFill="1" applyBorder="1" applyAlignment="1">
      <alignment horizontal="center" vertical="center" wrapText="1"/>
    </xf>
    <xf numFmtId="10" fontId="3" fillId="5" borderId="2" xfId="0" applyNumberFormat="1" applyFont="1" applyFill="1" applyBorder="1" applyAlignment="1">
      <alignment horizontal="center" vertical="center" wrapText="1"/>
    </xf>
    <xf numFmtId="3" fontId="3" fillId="6" borderId="2" xfId="0" applyNumberFormat="1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165" fontId="1" fillId="3" borderId="2" xfId="0" applyNumberFormat="1" applyFont="1" applyFill="1" applyBorder="1" applyAlignment="1">
      <alignment horizontal="center" vertical="center" wrapText="1"/>
    </xf>
    <xf numFmtId="10" fontId="1" fillId="3" borderId="2" xfId="0" applyNumberFormat="1" applyFont="1" applyFill="1" applyBorder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textRotation="90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 wrapText="1"/>
    </xf>
    <xf numFmtId="3" fontId="3" fillId="8" borderId="2" xfId="0" applyNumberFormat="1" applyFont="1" applyFill="1" applyBorder="1" applyAlignment="1">
      <alignment horizontal="center" vertical="center" wrapText="1"/>
    </xf>
    <xf numFmtId="3" fontId="3" fillId="9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165" fontId="3" fillId="10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1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55"/>
  <sheetViews>
    <sheetView showGridLines="0" workbookViewId="0">
      <pane xSplit="2" ySplit="2" topLeftCell="G6" activePane="bottomRight" state="frozen"/>
      <selection pane="topRight" activeCell="C1" sqref="C1"/>
      <selection pane="bottomLeft" activeCell="A3" sqref="A3"/>
      <selection pane="bottomRight" activeCell="X17" sqref="X17"/>
    </sheetView>
  </sheetViews>
  <sheetFormatPr defaultColWidth="14.44140625" defaultRowHeight="15" customHeight="1" x14ac:dyDescent="0.3"/>
  <cols>
    <col min="1" max="1" width="2.88671875" customWidth="1"/>
    <col min="2" max="4" width="32.44140625" customWidth="1"/>
    <col min="5" max="5" width="2.88671875" customWidth="1"/>
    <col min="6" max="17" width="4.33203125" customWidth="1"/>
    <col min="18" max="18" width="2.88671875" customWidth="1"/>
    <col min="19" max="22" width="12" customWidth="1"/>
    <col min="23" max="23" width="2.88671875" customWidth="1"/>
    <col min="24" max="31" width="12" customWidth="1"/>
    <col min="32" max="32" width="2.88671875" customWidth="1"/>
    <col min="33" max="39" width="12" customWidth="1"/>
    <col min="40" max="40" width="2.88671875" customWidth="1"/>
    <col min="41" max="43" width="12" customWidth="1"/>
    <col min="44" max="44" width="2.88671875" customWidth="1"/>
    <col min="45" max="47" width="12" customWidth="1"/>
    <col min="48" max="48" width="19.21875" customWidth="1"/>
  </cols>
  <sheetData>
    <row r="1" spans="1:48" ht="13.8" x14ac:dyDescent="0.3">
      <c r="A1" s="26"/>
      <c r="B1" s="27"/>
      <c r="C1" s="27"/>
      <c r="D1" s="27"/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6"/>
      <c r="S1" s="27"/>
      <c r="T1" s="27"/>
      <c r="U1" s="27"/>
      <c r="V1" s="27"/>
      <c r="W1" s="26"/>
      <c r="X1" s="27"/>
      <c r="Y1" s="27"/>
      <c r="Z1" s="27"/>
      <c r="AA1" s="27"/>
      <c r="AB1" s="27"/>
      <c r="AC1" s="27"/>
      <c r="AD1" s="27"/>
      <c r="AE1" s="27"/>
      <c r="AF1" s="26"/>
      <c r="AG1" s="27"/>
      <c r="AH1" s="27"/>
      <c r="AI1" s="27"/>
      <c r="AJ1" s="27"/>
      <c r="AK1" s="27"/>
      <c r="AL1" s="27"/>
      <c r="AM1" s="27"/>
      <c r="AN1" s="26"/>
      <c r="AO1" s="27"/>
      <c r="AP1" s="27"/>
      <c r="AQ1" s="27"/>
      <c r="AR1" s="26"/>
      <c r="AS1" s="28"/>
      <c r="AT1" s="28"/>
      <c r="AU1" s="28"/>
      <c r="AV1" s="26"/>
    </row>
    <row r="2" spans="1:48" ht="51.75" customHeight="1" x14ac:dyDescent="0.3">
      <c r="A2" s="1"/>
      <c r="B2" s="2" t="s">
        <v>0</v>
      </c>
      <c r="C2" s="2" t="s">
        <v>1</v>
      </c>
      <c r="D2" s="2" t="s">
        <v>2</v>
      </c>
      <c r="E2" s="1"/>
      <c r="F2" s="29" t="s">
        <v>38</v>
      </c>
      <c r="G2" s="29" t="s">
        <v>39</v>
      </c>
      <c r="H2" s="29" t="s">
        <v>40</v>
      </c>
      <c r="I2" s="29" t="s">
        <v>41</v>
      </c>
      <c r="J2" s="29" t="s">
        <v>42</v>
      </c>
      <c r="K2" s="29" t="s">
        <v>43</v>
      </c>
      <c r="L2" s="29" t="s">
        <v>44</v>
      </c>
      <c r="M2" s="29" t="s">
        <v>45</v>
      </c>
      <c r="N2" s="29" t="s">
        <v>46</v>
      </c>
      <c r="O2" s="29" t="s">
        <v>47</v>
      </c>
      <c r="P2" s="29" t="s">
        <v>48</v>
      </c>
      <c r="Q2" s="29" t="s">
        <v>49</v>
      </c>
      <c r="R2" s="1"/>
      <c r="S2" s="3" t="s">
        <v>3</v>
      </c>
      <c r="T2" s="3" t="s">
        <v>4</v>
      </c>
      <c r="U2" s="3" t="s">
        <v>5</v>
      </c>
      <c r="V2" s="3" t="s">
        <v>6</v>
      </c>
      <c r="W2" s="1"/>
      <c r="X2" s="4" t="s">
        <v>68</v>
      </c>
      <c r="Y2" s="4" t="s">
        <v>7</v>
      </c>
      <c r="Z2" s="3" t="s">
        <v>8</v>
      </c>
      <c r="AA2" s="4" t="s">
        <v>9</v>
      </c>
      <c r="AB2" s="3" t="s">
        <v>10</v>
      </c>
      <c r="AC2" s="5" t="s">
        <v>11</v>
      </c>
      <c r="AD2" s="5" t="s">
        <v>12</v>
      </c>
      <c r="AE2" s="4" t="s">
        <v>13</v>
      </c>
      <c r="AF2" s="1"/>
      <c r="AG2" s="2" t="s">
        <v>14</v>
      </c>
      <c r="AH2" s="2" t="s">
        <v>15</v>
      </c>
      <c r="AI2" s="2" t="s">
        <v>16</v>
      </c>
      <c r="AJ2" s="2" t="s">
        <v>17</v>
      </c>
      <c r="AK2" s="2" t="s">
        <v>18</v>
      </c>
      <c r="AL2" s="2" t="s">
        <v>19</v>
      </c>
      <c r="AM2" s="2" t="s">
        <v>20</v>
      </c>
      <c r="AN2" s="1"/>
      <c r="AO2" s="6" t="s">
        <v>21</v>
      </c>
      <c r="AP2" s="7" t="s">
        <v>22</v>
      </c>
      <c r="AQ2" s="7" t="s">
        <v>23</v>
      </c>
      <c r="AR2" s="1"/>
      <c r="AS2" s="6" t="s">
        <v>24</v>
      </c>
      <c r="AT2" s="8" t="s">
        <v>66</v>
      </c>
      <c r="AU2" s="8" t="s">
        <v>67</v>
      </c>
      <c r="AV2" s="1"/>
    </row>
    <row r="3" spans="1:48" ht="30.75" customHeight="1" x14ac:dyDescent="0.3">
      <c r="A3" s="10"/>
      <c r="B3" s="11"/>
      <c r="C3" s="12"/>
      <c r="D3" s="12"/>
      <c r="E3" s="10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10"/>
      <c r="S3" s="13"/>
      <c r="T3" s="14" t="s">
        <v>27</v>
      </c>
      <c r="U3" s="17" t="str">
        <f t="shared" ref="U3:U13" si="0">IFERROR(Y3/V3,"-")</f>
        <v>-</v>
      </c>
      <c r="V3" s="16">
        <f>IFERROR(МП_Periods!I3+МП_Periods!I16+МП_Periods!I29+МП_Periods!I42+МП_Periods!I55+МП_Periods!I68+МП_Periods!I81+МП_Periods!I94+МП_Periods!I107+МП_Periods!I120+МП_Periods!I133+МП_Periods!I146,"-")</f>
        <v>0</v>
      </c>
      <c r="W3" s="10"/>
      <c r="X3" s="40"/>
      <c r="Y3" s="15">
        <f>SUM(МП_Periods!N3,МП_Periods!N16,МП_Periods!N29,МП_Periods!N42,МП_Periods!N55,МП_Periods!N68,МП_Periods!N81,МП_Periods!N94,МП_Periods!N107,МП_Periods!N120,МП_Periods!N133,МП_Periods!N146)</f>
        <v>0</v>
      </c>
      <c r="Z3" s="18" t="str">
        <f t="shared" ref="Z3:Z12" si="1">IFERROR(1-(AA3/Y3),"-")</f>
        <v>-</v>
      </c>
      <c r="AA3" s="17">
        <f>SUM(МП_Periods!P3,МП_Periods!P16,МП_Periods!P29,МП_Periods!P42,МП_Periods!P55,МП_Periods!P68,МП_Periods!P81,МП_Periods!P94,МП_Periods!P107,МП_Periods!P120,МП_Periods!P133,МП_Periods!P146)</f>
        <v>0</v>
      </c>
      <c r="AB3" s="18" t="str">
        <f t="shared" ref="AB3:AB12" si="2">IFERROR((AC3/AA3)-1,"-")</f>
        <v>-</v>
      </c>
      <c r="AC3" s="15">
        <f>SUM(МП_Periods!R3,МП_Periods!R16,МП_Periods!R29,МП_Periods!R42,МП_Periods!R55,МП_Periods!R68,МП_Periods!R81,МП_Periods!R94,МП_Periods!R107,МП_Periods!R120,МП_Periods!R133,МП_Periods!R146)</f>
        <v>0</v>
      </c>
      <c r="AD3" s="15">
        <f>SUM(МП_Periods!S3,МП_Periods!S16,МП_Periods!S29,МП_Periods!S42,МП_Periods!S55,МП_Periods!S68,МП_Periods!S81,МП_Periods!S94,МП_Periods!S107,МП_Periods!S120,МП_Periods!S133,МП_Periods!S146)</f>
        <v>0</v>
      </c>
      <c r="AE3" s="18" t="str">
        <f t="shared" ref="AE3:AE12" si="3">IFERROR(AD3/$AD$13,"-")</f>
        <v>-</v>
      </c>
      <c r="AF3" s="10"/>
      <c r="AG3" s="16">
        <f>SUM(МП_Periods!V3,МП_Periods!V16,МП_Periods!V29,МП_Periods!V42,МП_Periods!V55,МП_Periods!V68,МП_Periods!V81,МП_Periods!V94,МП_Periods!V107,МП_Periods!V120,МП_Periods!V133,МП_Periods!V146)</f>
        <v>0</v>
      </c>
      <c r="AH3" s="13" t="str">
        <f t="shared" ref="AH3:AH12" si="4">IFERROR(AG3/AI3,"-")</f>
        <v>-</v>
      </c>
      <c r="AI3" s="13" t="str">
        <f>IFERROR(МП_Periods!X3+МП_Periods!X16+МП_Periods!X29+МП_Periods!X42+МП_Periods!X55+МП_Periods!X68+МП_Periods!X81+МП_Periods!X94+МП_Periods!X107+МП_Periods!X120+МП_Periods!X133+МП_Periods!X146,"-")</f>
        <v>-</v>
      </c>
      <c r="AJ3" s="17" t="str">
        <f t="shared" ref="AJ3:AJ13" si="5">IFERROR(AD3/AG3*1000,"-")</f>
        <v>-</v>
      </c>
      <c r="AK3" s="17" t="str">
        <f t="shared" ref="AK3:AK13" si="6">IFERROR(AD3/AI3*1000,"-")</f>
        <v>-</v>
      </c>
      <c r="AL3" s="16">
        <f>SUM(МП_Periods!AA3,МП_Periods!AA16,МП_Periods!AA29,МП_Periods!AA42,МП_Periods!AA55,МП_Periods!AA68,МП_Periods!AA81,МП_Periods!AA94,МП_Periods!AA107,МП_Periods!AA120,МП_Periods!AA133,МП_Periods!AA146)</f>
        <v>0</v>
      </c>
      <c r="AM3" s="18" t="str">
        <f t="shared" ref="AM3:AM12" si="7">IFERROR(#REF!/AL3,"-")</f>
        <v>-</v>
      </c>
      <c r="AN3" s="10"/>
      <c r="AO3" s="18" t="str">
        <f t="shared" ref="AO3:AO13" si="8">IFERROR(AP3/AG3,"-")</f>
        <v>-</v>
      </c>
      <c r="AP3" s="16">
        <f>SUM(МП_Periods!AE3,МП_Periods!AE16,МП_Periods!AE29,МП_Periods!AE42,МП_Periods!AE55,МП_Periods!AE68,МП_Periods!AE81,МП_Periods!AE94,МП_Periods!AE107,МП_Periods!AE120,МП_Periods!AE133,МП_Periods!AE146)</f>
        <v>0</v>
      </c>
      <c r="AQ3" s="17" t="str">
        <f t="shared" ref="AQ3:AQ13" si="9">IFERROR(AD3/AP3,"-")</f>
        <v>-</v>
      </c>
      <c r="AR3" s="10"/>
      <c r="AS3" s="18" t="str">
        <f t="shared" ref="AS3:AS13" si="10">IFERROR(AT3/AP3,"-")</f>
        <v>-</v>
      </c>
      <c r="AT3" s="16">
        <f>SUM(МП_Periods!AI3,МП_Periods!AI16,МП_Periods!AI29,МП_Periods!AI42,МП_Periods!AI55,МП_Periods!AI68,МП_Periods!AI81,МП_Periods!AI94,МП_Periods!AI107,МП_Periods!AI120,МП_Periods!AI133,МП_Periods!AI146)</f>
        <v>0</v>
      </c>
      <c r="AU3" s="17" t="str">
        <f t="shared" ref="AU3:AU13" si="11">IFERROR(AD3/AT3,"-")</f>
        <v>-</v>
      </c>
      <c r="AV3" s="10"/>
    </row>
    <row r="4" spans="1:48" ht="30.75" customHeight="1" x14ac:dyDescent="0.3">
      <c r="A4" s="10"/>
      <c r="B4" s="11"/>
      <c r="C4" s="12"/>
      <c r="D4" s="12"/>
      <c r="E4" s="10"/>
      <c r="F4" s="37"/>
      <c r="G4" s="36"/>
      <c r="H4" s="37"/>
      <c r="I4" s="37"/>
      <c r="J4" s="37"/>
      <c r="K4" s="37"/>
      <c r="L4" s="37"/>
      <c r="M4" s="37"/>
      <c r="N4" s="37"/>
      <c r="O4" s="37"/>
      <c r="P4" s="37"/>
      <c r="Q4" s="37"/>
      <c r="R4" s="10"/>
      <c r="S4" s="13"/>
      <c r="T4" s="14" t="s">
        <v>27</v>
      </c>
      <c r="U4" s="17" t="str">
        <f t="shared" si="0"/>
        <v>-</v>
      </c>
      <c r="V4" s="16">
        <f>IFERROR(МП_Periods!I4+МП_Periods!I17+МП_Periods!I30+МП_Periods!I48+МП_Periods!I56+МП_Periods!I69+МП_Periods!I82+МП_Periods!I95+МП_Periods!I108+МП_Periods!I121+МП_Periods!I134+МП_Periods!I147,"-")</f>
        <v>0</v>
      </c>
      <c r="W4" s="10"/>
      <c r="X4" s="40"/>
      <c r="Y4" s="15">
        <f>SUM(МП_Periods!N4,МП_Periods!N17,МП_Periods!N30,МП_Periods!N43,МП_Periods!N56,МП_Periods!N69,МП_Periods!N82,МП_Periods!N95,МП_Periods!N108,МП_Periods!N121,МП_Periods!N134,МП_Periods!N147)</f>
        <v>0</v>
      </c>
      <c r="Z4" s="18" t="str">
        <f t="shared" si="1"/>
        <v>-</v>
      </c>
      <c r="AA4" s="17">
        <f>SUM(МП_Periods!P4,МП_Periods!P17,МП_Periods!P30,МП_Periods!P43,МП_Periods!P56,МП_Periods!P69,МП_Periods!P82,МП_Periods!P95,МП_Periods!P108,МП_Periods!P121,МП_Periods!P134,МП_Periods!P147)</f>
        <v>0</v>
      </c>
      <c r="AB4" s="18" t="str">
        <f t="shared" si="2"/>
        <v>-</v>
      </c>
      <c r="AC4" s="15">
        <f>SUM(МП_Periods!R4,МП_Periods!R17,МП_Periods!R30,МП_Periods!R43,МП_Periods!R56,МП_Periods!R69,МП_Periods!R82,МП_Periods!R95,МП_Periods!R108,МП_Periods!R121,МП_Periods!R134,МП_Periods!R147)</f>
        <v>0</v>
      </c>
      <c r="AD4" s="15">
        <f>SUM(МП_Periods!S4,МП_Periods!S17,МП_Periods!S30,МП_Periods!S43,МП_Periods!S56,МП_Periods!S69,МП_Periods!S82,МП_Periods!S95,МП_Periods!S108,МП_Periods!S121,МП_Periods!S134,МП_Periods!S147)</f>
        <v>0</v>
      </c>
      <c r="AE4" s="30" t="str">
        <f t="shared" si="3"/>
        <v>-</v>
      </c>
      <c r="AF4" s="10"/>
      <c r="AG4" s="16">
        <f>SUM(МП_Periods!V4,МП_Periods!V17,МП_Periods!V30,МП_Periods!V43,МП_Periods!V56,МП_Periods!V69,МП_Periods!V82,МП_Periods!V95,МП_Periods!V108,МП_Periods!V121,МП_Periods!V134,МП_Periods!V147)</f>
        <v>0</v>
      </c>
      <c r="AH4" s="13" t="str">
        <f t="shared" si="4"/>
        <v>-</v>
      </c>
      <c r="AI4" s="13" t="str">
        <f>IFERROR(МП_Periods!X4+МП_Periods!X17+МП_Periods!X30+МП_Periods!X48+МП_Periods!X56+МП_Periods!X69+МП_Periods!X82+МП_Periods!X95+МП_Periods!X108+МП_Periods!X121+МП_Periods!X134+МП_Periods!X147,"-")</f>
        <v>-</v>
      </c>
      <c r="AJ4" s="17" t="str">
        <f t="shared" si="5"/>
        <v>-</v>
      </c>
      <c r="AK4" s="17" t="str">
        <f t="shared" si="6"/>
        <v>-</v>
      </c>
      <c r="AL4" s="16">
        <f>IFERROR(MAX(МП_Periods!AA4,МП_Periods!AA17,МП_Periods!AA30,МП_Periods!AA48,МП_Periods!AA56,МП_Periods!AA69,МП_Periods!AA82,МП_Periods!AA95,МП_Periods!AA108,МП_Periods!AA121,МП_Periods!AA134,МП_Periods!AA147),"-")</f>
        <v>0</v>
      </c>
      <c r="AM4" s="18" t="str">
        <f t="shared" si="7"/>
        <v>-</v>
      </c>
      <c r="AN4" s="10"/>
      <c r="AO4" s="18" t="str">
        <f t="shared" si="8"/>
        <v>-</v>
      </c>
      <c r="AP4" s="16">
        <f>SUM(МП_Periods!AE4,МП_Periods!AE17,МП_Periods!AE30,МП_Periods!AE43,МП_Periods!AE56,МП_Periods!AE69,МП_Periods!AE82,МП_Periods!AE95,МП_Periods!AE108,МП_Periods!AE121,МП_Periods!AE134,МП_Periods!AE147)</f>
        <v>0</v>
      </c>
      <c r="AQ4" s="17" t="str">
        <f t="shared" si="9"/>
        <v>-</v>
      </c>
      <c r="AR4" s="10"/>
      <c r="AS4" s="18" t="str">
        <f t="shared" si="10"/>
        <v>-</v>
      </c>
      <c r="AT4" s="16">
        <f>SUM(МП_Periods!AI4,МП_Periods!AI17,МП_Periods!AI30,МП_Periods!AI43,МП_Periods!AI56,МП_Periods!AI69,МП_Periods!AI82,МП_Periods!AI95,МП_Periods!AI108,МП_Periods!AI121,МП_Periods!AI134,МП_Periods!AI147)</f>
        <v>0</v>
      </c>
      <c r="AU4" s="17" t="str">
        <f t="shared" si="11"/>
        <v>-</v>
      </c>
      <c r="AV4" s="10"/>
    </row>
    <row r="5" spans="1:48" ht="30.75" customHeight="1" x14ac:dyDescent="0.3">
      <c r="A5" s="10"/>
      <c r="B5" s="11"/>
      <c r="C5" s="12"/>
      <c r="D5" s="12"/>
      <c r="E5" s="10"/>
      <c r="F5" s="37"/>
      <c r="G5" s="37"/>
      <c r="H5" s="36"/>
      <c r="I5" s="37"/>
      <c r="J5" s="37"/>
      <c r="K5" s="37"/>
      <c r="L5" s="37"/>
      <c r="M5" s="37"/>
      <c r="N5" s="37"/>
      <c r="O5" s="37"/>
      <c r="P5" s="37"/>
      <c r="Q5" s="37"/>
      <c r="R5" s="10"/>
      <c r="S5" s="13"/>
      <c r="T5" s="14" t="s">
        <v>27</v>
      </c>
      <c r="U5" s="17" t="str">
        <f t="shared" si="0"/>
        <v>-</v>
      </c>
      <c r="V5" s="16">
        <f>IFERROR(МП_Periods!I5+МП_Periods!I18+МП_Periods!I31+МП_Periods!I44+МП_Periods!I57+МП_Periods!I70+МП_Periods!I83+МП_Periods!I96+МП_Periods!I109+МП_Periods!I122+МП_Periods!I135+МП_Periods!I148,"-")</f>
        <v>0</v>
      </c>
      <c r="W5" s="10"/>
      <c r="X5" s="40"/>
      <c r="Y5" s="15">
        <f>SUM(МП_Periods!N5,МП_Periods!N18,МП_Periods!N31,МП_Periods!N44,МП_Periods!N57,МП_Periods!N70,МП_Periods!N83,МП_Periods!N96,МП_Periods!N109,МП_Periods!N122,МП_Periods!N135,МП_Periods!N148)</f>
        <v>0</v>
      </c>
      <c r="Z5" s="18" t="str">
        <f t="shared" ref="Z5:Z9" si="12">IFERROR(1-(AA5/Y5),"-")</f>
        <v>-</v>
      </c>
      <c r="AA5" s="17">
        <f>SUM(МП_Periods!P5,МП_Periods!P18,МП_Periods!P31,МП_Periods!P44,МП_Periods!P57,МП_Periods!P70,МП_Periods!P83,МП_Periods!P96,МП_Periods!P109,МП_Periods!P122,МП_Periods!P135,МП_Periods!P148)</f>
        <v>0</v>
      </c>
      <c r="AB5" s="18" t="str">
        <f t="shared" ref="AB5:AB9" si="13">IFERROR((AC5/AA5)-1,"-")</f>
        <v>-</v>
      </c>
      <c r="AC5" s="15">
        <f>SUM(МП_Periods!R5,МП_Periods!R18,МП_Periods!R31,МП_Periods!R44,МП_Periods!R57,МП_Periods!R70,МП_Periods!R83,МП_Periods!R96,МП_Periods!R109,МП_Periods!R122,МП_Periods!R135,МП_Periods!R148)</f>
        <v>0</v>
      </c>
      <c r="AD5" s="15">
        <f>SUM(МП_Periods!S5,МП_Periods!S18,МП_Periods!S31,МП_Periods!S44,МП_Periods!S57,МП_Periods!S70,МП_Periods!S83,МП_Periods!S96,МП_Periods!S109,МП_Periods!S122,МП_Periods!S135,МП_Periods!S148)</f>
        <v>0</v>
      </c>
      <c r="AE5" s="30" t="str">
        <f t="shared" ref="AE5:AE9" si="14">IFERROR(AD5/$AD$13,"-")</f>
        <v>-</v>
      </c>
      <c r="AF5" s="10"/>
      <c r="AG5" s="16">
        <f>SUM(МП_Periods!V5,МП_Periods!V18,МП_Periods!V31,МП_Periods!V44,МП_Periods!V57,МП_Periods!V70,МП_Periods!V83,МП_Periods!V96,МП_Periods!V109,МП_Periods!V122,МП_Periods!V135,МП_Periods!V148)</f>
        <v>0</v>
      </c>
      <c r="AH5" s="13" t="str">
        <f t="shared" ref="AH5:AH9" si="15">IFERROR(AG5/AI5,"-")</f>
        <v>-</v>
      </c>
      <c r="AI5" s="13" t="str">
        <f>IFERROR(МП_Periods!X5+МП_Periods!X18+МП_Periods!X31+МП_Periods!X44+МП_Periods!X57+МП_Periods!X70+МП_Periods!X83+МП_Periods!X96+МП_Periods!X109+МП_Periods!X122+МП_Periods!X135+МП_Periods!X148,"-")</f>
        <v>-</v>
      </c>
      <c r="AJ5" s="17" t="str">
        <f t="shared" ref="AJ5:AJ9" si="16">IFERROR(AD5/AG5*1000,"-")</f>
        <v>-</v>
      </c>
      <c r="AK5" s="17" t="str">
        <f t="shared" ref="AK5:AK9" si="17">IFERROR(AD5/AI5*1000,"-")</f>
        <v>-</v>
      </c>
      <c r="AL5" s="16">
        <f>IFERROR(MAX(МП_Periods!AA5,МП_Periods!AA18,МП_Periods!AA31,МП_Periods!AA44,МП_Periods!AA57,МП_Periods!AA70,МП_Periods!AA83,МП_Periods!AA96,МП_Periods!AA109,МП_Periods!AA122,МП_Periods!AA135,МП_Periods!AA148),"-")</f>
        <v>0</v>
      </c>
      <c r="AM5" s="18" t="str">
        <f t="shared" si="7"/>
        <v>-</v>
      </c>
      <c r="AN5" s="10"/>
      <c r="AO5" s="18" t="str">
        <f t="shared" ref="AO5:AO9" si="18">IFERROR(AP5/AG5,"-")</f>
        <v>-</v>
      </c>
      <c r="AP5" s="16">
        <f>SUM(МП_Periods!AE5,МП_Periods!AE18,МП_Periods!AE31,МП_Periods!AE44,МП_Periods!AE57,МП_Periods!AE70,МП_Periods!AE83,МП_Periods!AE96,МП_Periods!AE109,МП_Periods!AE122,МП_Periods!AE135,МП_Periods!AE148)</f>
        <v>0</v>
      </c>
      <c r="AQ5" s="17" t="str">
        <f t="shared" ref="AQ5:AQ9" si="19">IFERROR(AD5/AP5,"-")</f>
        <v>-</v>
      </c>
      <c r="AR5" s="10"/>
      <c r="AS5" s="18" t="str">
        <f t="shared" ref="AS5:AS9" si="20">IFERROR(AT5/AP5,"-")</f>
        <v>-</v>
      </c>
      <c r="AT5" s="16">
        <f>SUM(МП_Periods!AI5,МП_Periods!AI18,МП_Periods!AI31,МП_Periods!AI44,МП_Periods!AI57,МП_Periods!AI70,МП_Periods!AI83,МП_Periods!AI96,МП_Periods!AI109,МП_Periods!AI122,МП_Periods!AI135,МП_Periods!AI148)</f>
        <v>0</v>
      </c>
      <c r="AU5" s="17" t="str">
        <f t="shared" ref="AU5:AU9" si="21">IFERROR(AD5/AT5,"-")</f>
        <v>-</v>
      </c>
      <c r="AV5" s="10"/>
    </row>
    <row r="6" spans="1:48" ht="30.75" customHeight="1" x14ac:dyDescent="0.3">
      <c r="A6" s="10"/>
      <c r="B6" s="11"/>
      <c r="C6" s="12"/>
      <c r="D6" s="12"/>
      <c r="E6" s="10"/>
      <c r="F6" s="37"/>
      <c r="G6" s="37"/>
      <c r="H6" s="36"/>
      <c r="I6" s="37"/>
      <c r="J6" s="37"/>
      <c r="K6" s="37"/>
      <c r="L6" s="37"/>
      <c r="M6" s="37"/>
      <c r="N6" s="37"/>
      <c r="O6" s="37"/>
      <c r="P6" s="37"/>
      <c r="Q6" s="37"/>
      <c r="R6" s="10"/>
      <c r="S6" s="13"/>
      <c r="T6" s="14" t="s">
        <v>27</v>
      </c>
      <c r="U6" s="17" t="str">
        <f t="shared" si="0"/>
        <v>-</v>
      </c>
      <c r="V6" s="16">
        <f>IFERROR(МП_Periods!I6+МП_Periods!I19+МП_Periods!I32+МП_Periods!I45+МП_Periods!I58+МП_Periods!I71+МП_Periods!I84+МП_Periods!I97+МП_Periods!I110+МП_Periods!I123+МП_Periods!I136+МП_Periods!I149,"-")</f>
        <v>0</v>
      </c>
      <c r="W6" s="10"/>
      <c r="X6" s="40"/>
      <c r="Y6" s="15">
        <f>SUM(МП_Periods!N6,МП_Periods!N19,МП_Periods!N32,МП_Periods!N45,МП_Periods!N58,МП_Periods!N71,МП_Periods!N84,МП_Periods!N97,МП_Periods!N110,МП_Periods!N123,МП_Periods!N136,МП_Periods!N149)</f>
        <v>0</v>
      </c>
      <c r="Z6" s="18" t="str">
        <f t="shared" si="12"/>
        <v>-</v>
      </c>
      <c r="AA6" s="17">
        <f>SUM(МП_Periods!P6,МП_Periods!P19,МП_Periods!P32,МП_Periods!P45,МП_Periods!P58,МП_Periods!P71,МП_Periods!P84,МП_Periods!P97,МП_Periods!P110,МП_Periods!P123,МП_Periods!P136,МП_Periods!P149)</f>
        <v>0</v>
      </c>
      <c r="AB6" s="18" t="str">
        <f t="shared" si="13"/>
        <v>-</v>
      </c>
      <c r="AC6" s="15">
        <f>SUM(МП_Periods!R6,МП_Periods!R19,МП_Periods!R32,МП_Periods!R45,МП_Periods!R58,МП_Periods!R71,МП_Periods!R84,МП_Periods!R97,МП_Periods!R110,МП_Periods!R123,МП_Periods!R136,МП_Periods!R149)</f>
        <v>0</v>
      </c>
      <c r="AD6" s="15">
        <f>SUM(МП_Periods!S6,МП_Periods!S19,МП_Periods!S32,МП_Periods!S45,МП_Periods!S58,МП_Periods!S71,МП_Periods!S84,МП_Periods!S97,МП_Periods!S110,МП_Periods!S123,МП_Periods!S136,МП_Periods!S149)</f>
        <v>0</v>
      </c>
      <c r="AE6" s="30" t="str">
        <f t="shared" si="14"/>
        <v>-</v>
      </c>
      <c r="AF6" s="10"/>
      <c r="AG6" s="16">
        <f>SUM(МП_Periods!V6,МП_Periods!V19,МП_Periods!V32,МП_Periods!V45,МП_Periods!V58,МП_Periods!V71,МП_Periods!V84,МП_Periods!V97,МП_Periods!V110,МП_Periods!V123,МП_Periods!V136,МП_Periods!V149)</f>
        <v>0</v>
      </c>
      <c r="AH6" s="13" t="str">
        <f t="shared" si="15"/>
        <v>-</v>
      </c>
      <c r="AI6" s="13" t="str">
        <f>IFERROR(МП_Periods!X6+МП_Periods!X19+МП_Periods!X32+МП_Periods!X45+МП_Periods!X58+МП_Periods!X71+МП_Periods!X84+МП_Periods!X97+МП_Periods!X110+МП_Periods!X123+МП_Periods!X136+МП_Periods!X149,"-")</f>
        <v>-</v>
      </c>
      <c r="AJ6" s="17" t="str">
        <f t="shared" si="16"/>
        <v>-</v>
      </c>
      <c r="AK6" s="17" t="str">
        <f t="shared" si="17"/>
        <v>-</v>
      </c>
      <c r="AL6" s="16">
        <f>IFERROR(MAX(МП_Periods!AA6,МП_Periods!AA19,МП_Periods!AA32,МП_Periods!AA45,МП_Periods!AA58,МП_Periods!AA71,МП_Periods!AA84,МП_Periods!AA97,МП_Periods!AA110,МП_Periods!AA123,МП_Periods!AA136,МП_Periods!AA149),"-")</f>
        <v>0</v>
      </c>
      <c r="AM6" s="18" t="str">
        <f t="shared" si="7"/>
        <v>-</v>
      </c>
      <c r="AN6" s="10"/>
      <c r="AO6" s="18" t="str">
        <f t="shared" si="18"/>
        <v>-</v>
      </c>
      <c r="AP6" s="16">
        <f>SUM(МП_Periods!AE6,МП_Periods!AE19,МП_Periods!AE32,МП_Periods!AE45,МП_Periods!AE58,МП_Periods!AE71,МП_Periods!AE84,МП_Periods!AE97,МП_Periods!AE110,МП_Periods!AE123,МП_Periods!AE136,МП_Periods!AE149)</f>
        <v>0</v>
      </c>
      <c r="AQ6" s="17" t="str">
        <f t="shared" si="19"/>
        <v>-</v>
      </c>
      <c r="AR6" s="10"/>
      <c r="AS6" s="18" t="str">
        <f t="shared" si="20"/>
        <v>-</v>
      </c>
      <c r="AT6" s="16">
        <f>SUM(МП_Periods!AI6,МП_Periods!AI19,МП_Periods!AI32,МП_Periods!AI45,МП_Periods!AI58,МП_Periods!AI71,МП_Periods!AI84,МП_Periods!AI97,МП_Periods!AI110,МП_Periods!AI123,МП_Periods!AI136,МП_Periods!AI149)</f>
        <v>0</v>
      </c>
      <c r="AU6" s="17" t="str">
        <f t="shared" si="21"/>
        <v>-</v>
      </c>
      <c r="AV6" s="10"/>
    </row>
    <row r="7" spans="1:48" ht="30.75" customHeight="1" x14ac:dyDescent="0.3">
      <c r="A7" s="10"/>
      <c r="B7" s="11"/>
      <c r="C7" s="12"/>
      <c r="D7" s="12"/>
      <c r="E7" s="10"/>
      <c r="F7" s="37"/>
      <c r="G7" s="37"/>
      <c r="H7" s="36"/>
      <c r="I7" s="37"/>
      <c r="J7" s="37"/>
      <c r="K7" s="37"/>
      <c r="L7" s="37"/>
      <c r="M7" s="37"/>
      <c r="N7" s="37"/>
      <c r="O7" s="37"/>
      <c r="P7" s="37"/>
      <c r="Q7" s="37"/>
      <c r="R7" s="10"/>
      <c r="S7" s="13"/>
      <c r="T7" s="14" t="s">
        <v>27</v>
      </c>
      <c r="U7" s="17" t="str">
        <f t="shared" si="0"/>
        <v>-</v>
      </c>
      <c r="V7" s="16">
        <f>IFERROR(МП_Periods!I7+МП_Periods!I20+МП_Periods!I33+МП_Periods!I46+МП_Periods!I59+МП_Periods!I72+МП_Periods!I85+МП_Periods!I98+МП_Periods!I111+МП_Periods!I124+МП_Periods!I137+МП_Periods!I150,"-")</f>
        <v>0</v>
      </c>
      <c r="W7" s="10"/>
      <c r="X7" s="40"/>
      <c r="Y7" s="15">
        <f>SUM(МП_Periods!N7,МП_Periods!N20,МП_Periods!N33,МП_Periods!N46,МП_Periods!N59,МП_Periods!N72,МП_Periods!N85,МП_Periods!N98,МП_Periods!N111,МП_Periods!N124,МП_Periods!N137,МП_Periods!N150)</f>
        <v>0</v>
      </c>
      <c r="Z7" s="18" t="str">
        <f t="shared" si="12"/>
        <v>-</v>
      </c>
      <c r="AA7" s="17">
        <f>SUM(МП_Periods!P7,МП_Periods!P20,МП_Periods!P33,МП_Periods!P46,МП_Periods!P59,МП_Periods!P72,МП_Periods!P85,МП_Periods!P98,МП_Periods!P111,МП_Periods!P124,МП_Periods!P137,МП_Periods!P150)</f>
        <v>0</v>
      </c>
      <c r="AB7" s="18" t="str">
        <f t="shared" si="13"/>
        <v>-</v>
      </c>
      <c r="AC7" s="15">
        <f>SUM(МП_Periods!R7,МП_Periods!R20,МП_Periods!R33,МП_Periods!R46,МП_Periods!R59,МП_Periods!R72,МП_Periods!R85,МП_Periods!R98,МП_Periods!R111,МП_Periods!R124,МП_Periods!R137,МП_Periods!R150)</f>
        <v>0</v>
      </c>
      <c r="AD7" s="15">
        <f>SUM(МП_Periods!S7,МП_Periods!S20,МП_Periods!S33,МП_Periods!S46,МП_Periods!S59,МП_Periods!S72,МП_Periods!S85,МП_Periods!S98,МП_Periods!S111,МП_Periods!S124,МП_Periods!S137,МП_Periods!S150)</f>
        <v>0</v>
      </c>
      <c r="AE7" s="30" t="str">
        <f t="shared" si="14"/>
        <v>-</v>
      </c>
      <c r="AF7" s="10"/>
      <c r="AG7" s="16">
        <f>SUM(МП_Periods!V7,МП_Periods!V20,МП_Periods!V33,МП_Periods!V46,МП_Periods!V59,МП_Periods!V72,МП_Periods!V85,МП_Periods!V98,МП_Periods!V111,МП_Periods!V124,МП_Periods!V137,МП_Periods!V150)</f>
        <v>0</v>
      </c>
      <c r="AH7" s="13" t="str">
        <f t="shared" si="15"/>
        <v>-</v>
      </c>
      <c r="AI7" s="13" t="str">
        <f>IFERROR(МП_Periods!X7+МП_Periods!X20+МП_Periods!X33+МП_Periods!X46+МП_Periods!X59+МП_Periods!X72+МП_Periods!X85+МП_Periods!X98+МП_Periods!X111+МП_Periods!X124+МП_Periods!X137+МП_Periods!X150,"-")</f>
        <v>-</v>
      </c>
      <c r="AJ7" s="17" t="str">
        <f t="shared" si="16"/>
        <v>-</v>
      </c>
      <c r="AK7" s="17" t="str">
        <f t="shared" si="17"/>
        <v>-</v>
      </c>
      <c r="AL7" s="16">
        <f>IFERROR(MAX(МП_Periods!AA7,МП_Periods!AA20,МП_Periods!AA33,МП_Periods!AA46,МП_Periods!AA59,МП_Periods!AA72,МП_Periods!AA85,МП_Periods!AA98,МП_Periods!AA111,МП_Periods!AA124,МП_Periods!AA137,МП_Periods!AA150),"-")</f>
        <v>0</v>
      </c>
      <c r="AM7" s="18" t="str">
        <f t="shared" si="7"/>
        <v>-</v>
      </c>
      <c r="AN7" s="10"/>
      <c r="AO7" s="18" t="str">
        <f t="shared" si="18"/>
        <v>-</v>
      </c>
      <c r="AP7" s="16">
        <f>SUM(МП_Periods!AE7,МП_Periods!AE20,МП_Periods!AE33,МП_Periods!AE46,МП_Periods!AE59,МП_Periods!AE72,МП_Periods!AE85,МП_Periods!AE98,МП_Periods!AE111,МП_Periods!AE124,МП_Periods!AE137,МП_Periods!AE150)</f>
        <v>0</v>
      </c>
      <c r="AQ7" s="17" t="str">
        <f t="shared" si="19"/>
        <v>-</v>
      </c>
      <c r="AR7" s="10"/>
      <c r="AS7" s="18" t="str">
        <f t="shared" si="20"/>
        <v>-</v>
      </c>
      <c r="AT7" s="16">
        <f>SUM(МП_Periods!AI7,МП_Periods!AI20,МП_Periods!AI33,МП_Periods!AI46,МП_Periods!AI59,МП_Periods!AI72,МП_Periods!AI85,МП_Periods!AI98,МП_Periods!AI111,МП_Periods!AI124,МП_Periods!AI137,МП_Periods!AI150)</f>
        <v>0</v>
      </c>
      <c r="AU7" s="17" t="str">
        <f t="shared" si="21"/>
        <v>-</v>
      </c>
      <c r="AV7" s="10"/>
    </row>
    <row r="8" spans="1:48" ht="30.75" customHeight="1" x14ac:dyDescent="0.3">
      <c r="A8" s="10"/>
      <c r="B8" s="11"/>
      <c r="C8" s="12"/>
      <c r="D8" s="12"/>
      <c r="E8" s="10"/>
      <c r="F8" s="37"/>
      <c r="G8" s="37"/>
      <c r="H8" s="36"/>
      <c r="I8" s="37"/>
      <c r="J8" s="37"/>
      <c r="K8" s="37"/>
      <c r="L8" s="37"/>
      <c r="M8" s="37"/>
      <c r="N8" s="37"/>
      <c r="O8" s="37"/>
      <c r="P8" s="37"/>
      <c r="Q8" s="37"/>
      <c r="R8" s="10"/>
      <c r="S8" s="13"/>
      <c r="T8" s="14" t="s">
        <v>27</v>
      </c>
      <c r="U8" s="17" t="str">
        <f t="shared" si="0"/>
        <v>-</v>
      </c>
      <c r="V8" s="16">
        <f>IFERROR(МП_Periods!I8+МП_Periods!I21+МП_Periods!I34+МП_Periods!I47+МП_Periods!I60+МП_Periods!I73+МП_Periods!I86+МП_Periods!I99+МП_Periods!I112+МП_Periods!I125+МП_Periods!I138+МП_Periods!I151,"-")</f>
        <v>0</v>
      </c>
      <c r="W8" s="10"/>
      <c r="X8" s="40"/>
      <c r="Y8" s="15">
        <f>SUM(МП_Periods!N8,МП_Periods!N21,МП_Periods!N34,МП_Periods!N47,МП_Periods!N60,МП_Periods!N73,МП_Periods!N86,МП_Periods!N99,МП_Periods!N112,МП_Periods!N125,МП_Periods!N138,МП_Periods!N151)</f>
        <v>0</v>
      </c>
      <c r="Z8" s="18" t="str">
        <f t="shared" si="12"/>
        <v>-</v>
      </c>
      <c r="AA8" s="17">
        <f>SUM(МП_Periods!P8,МП_Periods!P21,МП_Periods!P34,МП_Periods!P47,МП_Periods!P60,МП_Periods!P73,МП_Periods!P86,МП_Periods!P99,МП_Periods!P112,МП_Periods!P125,МП_Periods!P138,МП_Periods!P151)</f>
        <v>0</v>
      </c>
      <c r="AB8" s="18" t="str">
        <f t="shared" si="13"/>
        <v>-</v>
      </c>
      <c r="AC8" s="15">
        <f>SUM(МП_Periods!R8,МП_Periods!R21,МП_Periods!R34,МП_Periods!R47,МП_Periods!R60,МП_Periods!R73,МП_Periods!R86,МП_Periods!R99,МП_Periods!R112,МП_Periods!R125,МП_Periods!R138,МП_Periods!R151)</f>
        <v>0</v>
      </c>
      <c r="AD8" s="15">
        <f>SUM(МП_Periods!S8,МП_Periods!S21,МП_Periods!S34,МП_Periods!S47,МП_Periods!S60,МП_Periods!S73,МП_Periods!S86,МП_Periods!S99,МП_Periods!S112,МП_Periods!S125,МП_Periods!S138,МП_Periods!S151)</f>
        <v>0</v>
      </c>
      <c r="AE8" s="30" t="str">
        <f t="shared" si="14"/>
        <v>-</v>
      </c>
      <c r="AF8" s="10"/>
      <c r="AG8" s="16">
        <f>SUM(МП_Periods!V8,МП_Periods!V21,МП_Periods!V34,МП_Periods!V47,МП_Periods!V60,МП_Periods!V73,МП_Periods!V86,МП_Periods!V99,МП_Periods!V112,МП_Periods!V125,МП_Periods!V138,МП_Periods!V151)</f>
        <v>0</v>
      </c>
      <c r="AH8" s="13" t="str">
        <f t="shared" si="15"/>
        <v>-</v>
      </c>
      <c r="AI8" s="13" t="str">
        <f>IFERROR(МП_Periods!X8+МП_Periods!X21+МП_Periods!X34+МП_Periods!X47+МП_Periods!X60+МП_Periods!X73+МП_Periods!X86+МП_Periods!X99+МП_Periods!X112+МП_Periods!X125+МП_Periods!X138+МП_Periods!X151,"-")</f>
        <v>-</v>
      </c>
      <c r="AJ8" s="17" t="str">
        <f t="shared" si="16"/>
        <v>-</v>
      </c>
      <c r="AK8" s="17" t="str">
        <f t="shared" si="17"/>
        <v>-</v>
      </c>
      <c r="AL8" s="16">
        <f>IFERROR(MAX(МП_Periods!AA8,МП_Periods!AA21,МП_Periods!AA34,МП_Periods!AA47,МП_Periods!AA60,МП_Periods!AA73,МП_Periods!AA86,МП_Periods!AA99,МП_Periods!AA112,МП_Periods!AA125,МП_Periods!AA138,МП_Periods!AA151),"-")</f>
        <v>0</v>
      </c>
      <c r="AM8" s="18" t="str">
        <f t="shared" si="7"/>
        <v>-</v>
      </c>
      <c r="AN8" s="10"/>
      <c r="AO8" s="18" t="str">
        <f t="shared" si="18"/>
        <v>-</v>
      </c>
      <c r="AP8" s="16">
        <f>SUM(МП_Periods!AE8,МП_Periods!AE21,МП_Periods!AE34,МП_Periods!AE47,МП_Periods!AE60,МП_Periods!AE73,МП_Periods!AE86,МП_Periods!AE99,МП_Periods!AE112,МП_Periods!AE125,МП_Periods!AE138,МП_Periods!AE151)</f>
        <v>0</v>
      </c>
      <c r="AQ8" s="17" t="str">
        <f t="shared" si="19"/>
        <v>-</v>
      </c>
      <c r="AR8" s="10"/>
      <c r="AS8" s="18" t="str">
        <f t="shared" si="20"/>
        <v>-</v>
      </c>
      <c r="AT8" s="16">
        <f>SUM(МП_Periods!AI8,МП_Periods!AI21,МП_Periods!AI34,МП_Periods!AI47,МП_Periods!AI60,МП_Periods!AI73,МП_Periods!AI86,МП_Periods!AI99,МП_Periods!AI112,МП_Periods!AI125,МП_Periods!AI138,МП_Periods!AI151)</f>
        <v>0</v>
      </c>
      <c r="AU8" s="17" t="str">
        <f t="shared" si="21"/>
        <v>-</v>
      </c>
      <c r="AV8" s="10"/>
    </row>
    <row r="9" spans="1:48" ht="30.75" customHeight="1" x14ac:dyDescent="0.3">
      <c r="A9" s="10"/>
      <c r="B9" s="11"/>
      <c r="C9" s="12"/>
      <c r="D9" s="12"/>
      <c r="E9" s="10"/>
      <c r="F9" s="37"/>
      <c r="G9" s="37"/>
      <c r="H9" s="36"/>
      <c r="I9" s="37"/>
      <c r="J9" s="37"/>
      <c r="K9" s="37"/>
      <c r="L9" s="37"/>
      <c r="M9" s="37"/>
      <c r="N9" s="37"/>
      <c r="O9" s="37"/>
      <c r="P9" s="37"/>
      <c r="Q9" s="37"/>
      <c r="R9" s="10"/>
      <c r="S9" s="13"/>
      <c r="T9" s="14" t="s">
        <v>27</v>
      </c>
      <c r="U9" s="17" t="str">
        <f t="shared" si="0"/>
        <v>-</v>
      </c>
      <c r="V9" s="16">
        <f>IFERROR(МП_Periods!I9+МП_Periods!I22+МП_Periods!I35+МП_Periods!I48+МП_Periods!I61+МП_Periods!I74+МП_Periods!I87+МП_Periods!I100+МП_Periods!I113+МП_Periods!I126+МП_Periods!I139+МП_Periods!I152,"-")</f>
        <v>0</v>
      </c>
      <c r="W9" s="10"/>
      <c r="X9" s="40"/>
      <c r="Y9" s="15">
        <f>SUM(МП_Periods!N9,МП_Periods!N22,МП_Periods!N35,МП_Periods!N48,МП_Periods!N61,МП_Periods!N74,МП_Periods!N87,МП_Periods!N100,МП_Periods!N113,МП_Periods!N126,МП_Periods!N139,МП_Periods!N152)</f>
        <v>0</v>
      </c>
      <c r="Z9" s="18" t="str">
        <f t="shared" si="12"/>
        <v>-</v>
      </c>
      <c r="AA9" s="17">
        <f>SUM(МП_Periods!P9,МП_Periods!P22,МП_Periods!P35,МП_Periods!P48,МП_Periods!P61,МП_Periods!P74,МП_Periods!P87,МП_Periods!P100,МП_Periods!P113,МП_Periods!P126,МП_Periods!P139,МП_Periods!P152)</f>
        <v>0</v>
      </c>
      <c r="AB9" s="18" t="str">
        <f t="shared" si="13"/>
        <v>-</v>
      </c>
      <c r="AC9" s="15">
        <f>SUM(МП_Periods!R9,МП_Periods!R22,МП_Periods!R35,МП_Periods!R48,МП_Periods!R61,МП_Periods!R74,МП_Periods!R87,МП_Periods!R100,МП_Periods!R113,МП_Periods!R126,МП_Periods!R139,МП_Periods!R152)</f>
        <v>0</v>
      </c>
      <c r="AD9" s="15">
        <f>SUM(МП_Periods!S9,МП_Periods!S22,МП_Periods!S35,МП_Periods!S48,МП_Periods!S61,МП_Periods!S74,МП_Periods!S87,МП_Periods!S100,МП_Periods!S113,МП_Periods!S126,МП_Periods!S139,МП_Periods!S152)</f>
        <v>0</v>
      </c>
      <c r="AE9" s="30" t="str">
        <f t="shared" si="14"/>
        <v>-</v>
      </c>
      <c r="AF9" s="10"/>
      <c r="AG9" s="16">
        <f>SUM(МП_Periods!V9,МП_Periods!V22,МП_Periods!V35,МП_Periods!V48,МП_Periods!V61,МП_Periods!V74,МП_Periods!V87,МП_Periods!V100,МП_Periods!V113,МП_Periods!V126,МП_Periods!V139,МП_Periods!V152)</f>
        <v>0</v>
      </c>
      <c r="AH9" s="13" t="str">
        <f t="shared" si="15"/>
        <v>-</v>
      </c>
      <c r="AI9" s="13" t="str">
        <f>IFERROR(МП_Periods!X9+МП_Periods!X22+МП_Periods!X35+МП_Periods!X48+МП_Periods!X61+МП_Periods!X74+МП_Periods!X87+МП_Periods!X100+МП_Periods!X113+МП_Periods!X126+МП_Periods!X139+МП_Periods!X152,"-")</f>
        <v>-</v>
      </c>
      <c r="AJ9" s="17" t="str">
        <f t="shared" si="16"/>
        <v>-</v>
      </c>
      <c r="AK9" s="17" t="str">
        <f t="shared" si="17"/>
        <v>-</v>
      </c>
      <c r="AL9" s="16">
        <f>IFERROR(MAX(МП_Periods!AA9,МП_Periods!AA22,МП_Periods!AA35,МП_Periods!AA48,МП_Periods!AA61,МП_Periods!AA74,МП_Periods!AA87,МП_Periods!AA100,МП_Periods!AA113,МП_Periods!AA126,МП_Periods!AA139,МП_Periods!AA152),"-")</f>
        <v>0</v>
      </c>
      <c r="AM9" s="18" t="str">
        <f t="shared" si="7"/>
        <v>-</v>
      </c>
      <c r="AN9" s="10"/>
      <c r="AO9" s="18" t="str">
        <f t="shared" si="18"/>
        <v>-</v>
      </c>
      <c r="AP9" s="16">
        <f>SUM(МП_Periods!AE9,МП_Periods!AE22,МП_Periods!AE35,МП_Periods!AE48,МП_Periods!AE61,МП_Periods!AE74,МП_Periods!AE87,МП_Periods!AE100,МП_Periods!AE113,МП_Periods!AE126,МП_Periods!AE139,МП_Periods!AE152)</f>
        <v>0</v>
      </c>
      <c r="AQ9" s="17" t="str">
        <f t="shared" si="19"/>
        <v>-</v>
      </c>
      <c r="AR9" s="10"/>
      <c r="AS9" s="18" t="str">
        <f t="shared" si="20"/>
        <v>-</v>
      </c>
      <c r="AT9" s="16">
        <f>SUM(МП_Periods!AI9,МП_Periods!AI22,МП_Periods!AI35,МП_Periods!AI48,МП_Periods!AI61,МП_Periods!AI74,МП_Periods!AI87,МП_Periods!AI100,МП_Periods!AI113,МП_Periods!AI126,МП_Periods!AI139,МП_Periods!AI152)</f>
        <v>0</v>
      </c>
      <c r="AU9" s="17" t="str">
        <f t="shared" si="21"/>
        <v>-</v>
      </c>
      <c r="AV9" s="10"/>
    </row>
    <row r="10" spans="1:48" ht="30.75" customHeight="1" x14ac:dyDescent="0.3">
      <c r="A10" s="10"/>
      <c r="B10" s="11"/>
      <c r="C10" s="12"/>
      <c r="D10" s="12"/>
      <c r="E10" s="10"/>
      <c r="F10" s="37"/>
      <c r="G10" s="37"/>
      <c r="H10" s="36"/>
      <c r="I10" s="37"/>
      <c r="J10" s="37"/>
      <c r="K10" s="37"/>
      <c r="L10" s="37"/>
      <c r="M10" s="37"/>
      <c r="N10" s="37"/>
      <c r="O10" s="37"/>
      <c r="P10" s="37"/>
      <c r="Q10" s="37"/>
      <c r="R10" s="10"/>
      <c r="S10" s="13"/>
      <c r="T10" s="14" t="s">
        <v>27</v>
      </c>
      <c r="U10" s="17" t="str">
        <f t="shared" si="0"/>
        <v>-</v>
      </c>
      <c r="V10" s="16">
        <f>IFERROR(МП_Periods!I10+МП_Periods!I23+МП_Periods!I36+МП_Periods!I49+МП_Periods!I62+МП_Periods!I75+МП_Periods!I88+МП_Periods!I101+МП_Periods!I114+МП_Periods!I127+МП_Periods!I140+МП_Periods!I153,"-")</f>
        <v>0</v>
      </c>
      <c r="W10" s="10"/>
      <c r="X10" s="40"/>
      <c r="Y10" s="15">
        <f>SUM(МП_Periods!N10,МП_Periods!N23,МП_Periods!N36,МП_Periods!N49,МП_Periods!N62,МП_Periods!N75,МП_Periods!N88,МП_Periods!N101,МП_Periods!N114,МП_Periods!N127,МП_Periods!N140,МП_Periods!N153)</f>
        <v>0</v>
      </c>
      <c r="Z10" s="18" t="str">
        <f t="shared" si="1"/>
        <v>-</v>
      </c>
      <c r="AA10" s="17">
        <f>SUM(МП_Periods!P10,МП_Periods!P23,МП_Periods!P36,МП_Periods!P49,МП_Periods!P62,МП_Periods!P75,МП_Periods!P88,МП_Periods!P101,МП_Periods!P114,МП_Periods!P127,МП_Periods!P140,МП_Periods!P153)</f>
        <v>0</v>
      </c>
      <c r="AB10" s="18" t="str">
        <f t="shared" si="2"/>
        <v>-</v>
      </c>
      <c r="AC10" s="15">
        <f>SUM(МП_Periods!R10,МП_Periods!R23,МП_Periods!R36,МП_Periods!R49,МП_Periods!R62,МП_Periods!R75,МП_Periods!R88,МП_Periods!R101,МП_Periods!R114,МП_Periods!R127,МП_Periods!R140,МП_Periods!R153)</f>
        <v>0</v>
      </c>
      <c r="AD10" s="15">
        <f>SUM(МП_Periods!S10,МП_Periods!S23,МП_Periods!S36,МП_Periods!S49,МП_Periods!S62,МП_Periods!S75,МП_Periods!S88,МП_Periods!S101,МП_Periods!S114,МП_Periods!S127,МП_Periods!S140,МП_Periods!S153)</f>
        <v>0</v>
      </c>
      <c r="AE10" s="30" t="str">
        <f t="shared" si="3"/>
        <v>-</v>
      </c>
      <c r="AF10" s="10"/>
      <c r="AG10" s="16">
        <f>SUM(МП_Periods!V10,МП_Periods!V23,МП_Periods!V36,МП_Periods!V49,МП_Periods!V62,МП_Periods!V75,МП_Periods!V88,МП_Periods!V101,МП_Periods!V114,МП_Periods!V127,МП_Periods!V140,МП_Periods!V153)</f>
        <v>0</v>
      </c>
      <c r="AH10" s="13" t="str">
        <f t="shared" si="4"/>
        <v>-</v>
      </c>
      <c r="AI10" s="13" t="str">
        <f>IFERROR(МП_Periods!X10+МП_Periods!X23+МП_Periods!X36+МП_Periods!X49+МП_Periods!X62+МП_Periods!X75+МП_Periods!X88+МП_Periods!X101+МП_Periods!X114+МП_Periods!X127+МП_Periods!X140+МП_Periods!X153,"-")</f>
        <v>-</v>
      </c>
      <c r="AJ10" s="17" t="str">
        <f t="shared" si="5"/>
        <v>-</v>
      </c>
      <c r="AK10" s="17" t="str">
        <f t="shared" si="6"/>
        <v>-</v>
      </c>
      <c r="AL10" s="16">
        <f>IFERROR(MAX(МП_Periods!AA10,МП_Periods!AA23,МП_Periods!AA36,МП_Periods!AA49,МП_Periods!AA62,МП_Periods!AA75,МП_Periods!AA88,МП_Periods!AA101,МП_Periods!AA114,МП_Periods!AA127,МП_Periods!AA140,МП_Periods!AA153),"-")</f>
        <v>0</v>
      </c>
      <c r="AM10" s="18" t="str">
        <f t="shared" si="7"/>
        <v>-</v>
      </c>
      <c r="AN10" s="10"/>
      <c r="AO10" s="18" t="str">
        <f t="shared" si="8"/>
        <v>-</v>
      </c>
      <c r="AP10" s="16">
        <f>SUM(МП_Periods!AE10,МП_Periods!AE23,МП_Periods!AE36,МП_Periods!AE49,МП_Periods!AE62,МП_Periods!AE75,МП_Periods!AE88,МП_Periods!AE101,МП_Periods!AE114,МП_Periods!AE127,МП_Periods!AE140,МП_Periods!AE153)</f>
        <v>0</v>
      </c>
      <c r="AQ10" s="17" t="str">
        <f t="shared" si="9"/>
        <v>-</v>
      </c>
      <c r="AR10" s="10"/>
      <c r="AS10" s="18" t="str">
        <f t="shared" si="10"/>
        <v>-</v>
      </c>
      <c r="AT10" s="16">
        <f>SUM(МП_Periods!AI10,МП_Periods!AI23,МП_Periods!AI36,МП_Periods!AI49,МП_Periods!AI62,МП_Periods!AI75,МП_Periods!AI88,МП_Periods!AI101,МП_Periods!AI114,МП_Periods!AI127,МП_Periods!AI140,МП_Periods!AI153)</f>
        <v>0</v>
      </c>
      <c r="AU10" s="17" t="str">
        <f t="shared" si="11"/>
        <v>-</v>
      </c>
      <c r="AV10" s="10"/>
    </row>
    <row r="11" spans="1:48" ht="30.75" customHeight="1" x14ac:dyDescent="0.3">
      <c r="A11" s="10"/>
      <c r="B11" s="11"/>
      <c r="C11" s="12"/>
      <c r="D11" s="12"/>
      <c r="E11" s="10"/>
      <c r="F11" s="37"/>
      <c r="G11" s="37"/>
      <c r="H11" s="37"/>
      <c r="I11" s="36"/>
      <c r="J11" s="36"/>
      <c r="K11" s="36"/>
      <c r="L11" s="36"/>
      <c r="M11" s="36"/>
      <c r="N11" s="36"/>
      <c r="O11" s="36"/>
      <c r="P11" s="36"/>
      <c r="Q11" s="36"/>
      <c r="R11" s="10"/>
      <c r="S11" s="13"/>
      <c r="T11" s="14" t="s">
        <v>27</v>
      </c>
      <c r="U11" s="17" t="str">
        <f t="shared" si="0"/>
        <v>-</v>
      </c>
      <c r="V11" s="16">
        <f>IFERROR(МП_Periods!I11+МП_Periods!I24+МП_Periods!I37+МП_Periods!I50+МП_Periods!I63+МП_Periods!I76+МП_Periods!I89+МП_Periods!I102+МП_Periods!I115+МП_Periods!I128+МП_Periods!I141+МП_Periods!I154,"-")</f>
        <v>0</v>
      </c>
      <c r="W11" s="10"/>
      <c r="X11" s="40"/>
      <c r="Y11" s="15">
        <f>SUM(МП_Periods!N11,МП_Periods!N24,МП_Periods!N37,МП_Periods!N50,МП_Periods!N63,МП_Periods!N76,МП_Periods!N89,МП_Periods!N102,МП_Periods!N115,МП_Periods!N128,МП_Periods!N141,МП_Periods!N154)</f>
        <v>0</v>
      </c>
      <c r="Z11" s="18" t="str">
        <f t="shared" si="1"/>
        <v>-</v>
      </c>
      <c r="AA11" s="17">
        <f>SUM(МП_Periods!P11,МП_Periods!P24,МП_Periods!P37,МП_Periods!P50,МП_Periods!P63,МП_Periods!P76,МП_Periods!P89,МП_Periods!P102,МП_Periods!P115,МП_Periods!P128,МП_Periods!P141,МП_Periods!P154)</f>
        <v>0</v>
      </c>
      <c r="AB11" s="18" t="str">
        <f t="shared" si="2"/>
        <v>-</v>
      </c>
      <c r="AC11" s="15">
        <f>SUM(МП_Periods!R11,МП_Periods!R24,МП_Periods!R37,МП_Periods!R50,МП_Periods!R63,МП_Periods!R76,МП_Periods!R89,МП_Periods!R102,МП_Periods!R115,МП_Periods!R128,МП_Periods!R141,МП_Periods!R154)</f>
        <v>0</v>
      </c>
      <c r="AD11" s="15">
        <f>SUM(МП_Periods!S11,МП_Periods!S24,МП_Periods!S37,МП_Periods!S50,МП_Periods!S63,МП_Periods!S76,МП_Periods!S89,МП_Periods!S102,МП_Periods!S115,МП_Periods!S128,МП_Periods!S141,МП_Periods!S154)</f>
        <v>0</v>
      </c>
      <c r="AE11" s="30" t="str">
        <f t="shared" si="3"/>
        <v>-</v>
      </c>
      <c r="AF11" s="10"/>
      <c r="AG11" s="16">
        <f>SUM(МП_Periods!V11,МП_Periods!V24,МП_Periods!V37,МП_Periods!V50,МП_Periods!V63,МП_Periods!V76,МП_Periods!V89,МП_Periods!V102,МП_Periods!V115,МП_Periods!V128,МП_Periods!V141,МП_Periods!V154)</f>
        <v>0</v>
      </c>
      <c r="AH11" s="13" t="str">
        <f t="shared" si="4"/>
        <v>-</v>
      </c>
      <c r="AI11" s="13" t="str">
        <f>IFERROR(МП_Periods!X11+МП_Periods!X24+МП_Periods!X37+МП_Periods!X50+МП_Periods!X63+МП_Periods!X76+МП_Periods!X89+МП_Periods!X102+МП_Periods!X115+МП_Periods!X128+МП_Periods!X141+МП_Periods!X154,"-")</f>
        <v>-</v>
      </c>
      <c r="AJ11" s="17" t="str">
        <f t="shared" si="5"/>
        <v>-</v>
      </c>
      <c r="AK11" s="17" t="str">
        <f t="shared" si="6"/>
        <v>-</v>
      </c>
      <c r="AL11" s="16">
        <f>IFERROR(MAX(МП_Periods!AA11,МП_Periods!AA24,МП_Periods!AA37,МП_Periods!AA50,МП_Periods!AA63,МП_Periods!AA76,МП_Periods!AA89,МП_Periods!AA102,МП_Periods!AA115,МП_Periods!AA128,МП_Periods!AA141,МП_Periods!AA154),"-")</f>
        <v>0</v>
      </c>
      <c r="AM11" s="18" t="str">
        <f t="shared" si="7"/>
        <v>-</v>
      </c>
      <c r="AN11" s="10"/>
      <c r="AO11" s="18" t="str">
        <f t="shared" si="8"/>
        <v>-</v>
      </c>
      <c r="AP11" s="16">
        <f>SUM(МП_Periods!AE11,МП_Periods!AE24,МП_Periods!AE37,МП_Periods!AE50,МП_Periods!AE63,МП_Periods!AE76,МП_Periods!AE89,МП_Periods!AE102,МП_Periods!AE115,МП_Periods!AE128,МП_Periods!AE141,МП_Periods!AE154)</f>
        <v>0</v>
      </c>
      <c r="AQ11" s="17" t="str">
        <f t="shared" si="9"/>
        <v>-</v>
      </c>
      <c r="AR11" s="10"/>
      <c r="AS11" s="18" t="str">
        <f t="shared" si="10"/>
        <v>-</v>
      </c>
      <c r="AT11" s="16">
        <f>SUM(МП_Periods!AI11,МП_Periods!AI24,МП_Periods!AI37,МП_Periods!AI50,МП_Periods!AI63,МП_Periods!AI76,МП_Periods!AI89,МП_Periods!AI102,МП_Periods!AI115,МП_Periods!AI128,МП_Periods!AI141,МП_Periods!AI154)</f>
        <v>0</v>
      </c>
      <c r="AU11" s="17" t="str">
        <f t="shared" si="11"/>
        <v>-</v>
      </c>
      <c r="AV11" s="10"/>
    </row>
    <row r="12" spans="1:48" ht="30.75" customHeight="1" x14ac:dyDescent="0.3">
      <c r="A12" s="10"/>
      <c r="B12" s="11"/>
      <c r="C12" s="12"/>
      <c r="D12" s="12"/>
      <c r="E12" s="10"/>
      <c r="F12" s="36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10"/>
      <c r="S12" s="13"/>
      <c r="T12" s="14" t="s">
        <v>27</v>
      </c>
      <c r="U12" s="17" t="str">
        <f t="shared" si="0"/>
        <v>-</v>
      </c>
      <c r="V12" s="16">
        <f>IFERROR(МП_Periods!I12+МП_Periods!I25+МП_Periods!I38+МП_Periods!I51+МП_Periods!I64+МП_Periods!I77+МП_Periods!I90+МП_Periods!I103+МП_Periods!I116+МП_Periods!I129+МП_Periods!I142+МП_Periods!I155,"-")</f>
        <v>0</v>
      </c>
      <c r="W12" s="10"/>
      <c r="X12" s="40"/>
      <c r="Y12" s="15">
        <f>SUM(МП_Periods!N12,МП_Periods!N25,МП_Periods!N38,МП_Periods!N51,МП_Periods!N64,МП_Periods!N77,МП_Periods!N90,МП_Periods!N103,МП_Periods!N116,МП_Periods!N129,МП_Periods!N142,МП_Periods!N155)</f>
        <v>0</v>
      </c>
      <c r="Z12" s="18" t="str">
        <f t="shared" si="1"/>
        <v>-</v>
      </c>
      <c r="AA12" s="17">
        <f>SUM(МП_Periods!P12,МП_Periods!P25,МП_Periods!P38,МП_Periods!P51,МП_Periods!P64,МП_Periods!P77,МП_Periods!P90,МП_Periods!P103,МП_Periods!P116,МП_Periods!P129,МП_Periods!P142,МП_Periods!P155)</f>
        <v>0</v>
      </c>
      <c r="AB12" s="18" t="str">
        <f t="shared" si="2"/>
        <v>-</v>
      </c>
      <c r="AC12" s="15">
        <f>SUM(МП_Periods!R12,МП_Periods!R25,МП_Periods!R38,МП_Periods!R51,МП_Periods!R64,МП_Periods!R77,МП_Periods!R90,МП_Periods!R103,МП_Periods!R116,МП_Periods!R129,МП_Periods!R142,МП_Periods!R155)</f>
        <v>0</v>
      </c>
      <c r="AD12" s="15">
        <f>SUM(МП_Periods!S12,МП_Periods!S25,МП_Periods!S38,МП_Periods!S51,МП_Periods!S64,МП_Periods!S77,МП_Periods!S90,МП_Periods!S103,МП_Periods!S116,МП_Periods!S129,МП_Periods!S142,МП_Periods!S155)</f>
        <v>0</v>
      </c>
      <c r="AE12" s="30" t="str">
        <f t="shared" si="3"/>
        <v>-</v>
      </c>
      <c r="AF12" s="10"/>
      <c r="AG12" s="16">
        <f>SUM(МП_Periods!V12,МП_Periods!V25,МП_Periods!V38,МП_Periods!V51,МП_Periods!V64,МП_Periods!V77,МП_Periods!V90,МП_Periods!V103,МП_Periods!V116,МП_Periods!V129,МП_Periods!V142,МП_Periods!V155)</f>
        <v>0</v>
      </c>
      <c r="AH12" s="13" t="str">
        <f t="shared" si="4"/>
        <v>-</v>
      </c>
      <c r="AI12" s="13" t="str">
        <f>IFERROR(МП_Periods!X12+МП_Periods!X25+МП_Periods!X38+МП_Periods!X51+МП_Periods!X64+МП_Periods!X77+МП_Periods!X90+МП_Periods!X103+МП_Periods!X116+МП_Periods!X129+МП_Periods!X142+МП_Periods!X155,"-")</f>
        <v>-</v>
      </c>
      <c r="AJ12" s="17" t="str">
        <f t="shared" si="5"/>
        <v>-</v>
      </c>
      <c r="AK12" s="17" t="str">
        <f t="shared" si="6"/>
        <v>-</v>
      </c>
      <c r="AL12" s="16">
        <f>IFERROR(MAX(МП_Periods!AA12,МП_Periods!AA25,МП_Periods!AA38,МП_Periods!AA51,МП_Periods!AA64,МП_Periods!AA77,МП_Periods!AA90,МП_Periods!AA103,МП_Periods!AA116,МП_Periods!AA129,МП_Periods!AA142,МП_Periods!AA155),"-")</f>
        <v>0</v>
      </c>
      <c r="AM12" s="18" t="str">
        <f t="shared" si="7"/>
        <v>-</v>
      </c>
      <c r="AN12" s="10"/>
      <c r="AO12" s="18" t="str">
        <f t="shared" si="8"/>
        <v>-</v>
      </c>
      <c r="AP12" s="16">
        <f>SUM(МП_Periods!AE12,МП_Periods!AE25,МП_Periods!AE38,МП_Periods!AE51,МП_Periods!AE64,МП_Periods!AE77,МП_Periods!AE90,МП_Periods!AE103,МП_Periods!AE116,МП_Periods!AE129,МП_Periods!AE142,МП_Periods!AE155)</f>
        <v>0</v>
      </c>
      <c r="AQ12" s="17" t="str">
        <f t="shared" si="9"/>
        <v>-</v>
      </c>
      <c r="AR12" s="10"/>
      <c r="AS12" s="18" t="str">
        <f t="shared" si="10"/>
        <v>-</v>
      </c>
      <c r="AT12" s="16">
        <f>SUM(МП_Periods!AI12,МП_Periods!AI25,МП_Periods!AI38,МП_Periods!AI51,МП_Periods!AI64,МП_Periods!AI77,МП_Periods!AI90,МП_Periods!AI103,МП_Periods!AI116,МП_Periods!AI129,МП_Periods!AI142,МП_Periods!AI155)</f>
        <v>0</v>
      </c>
      <c r="AU12" s="17" t="str">
        <f t="shared" si="11"/>
        <v>-</v>
      </c>
      <c r="AV12" s="10"/>
    </row>
    <row r="13" spans="1:48" ht="17.25" customHeight="1" x14ac:dyDescent="0.3">
      <c r="A13" s="22"/>
      <c r="B13" s="6" t="s">
        <v>28</v>
      </c>
      <c r="C13" s="9" t="s">
        <v>29</v>
      </c>
      <c r="D13" s="9" t="s">
        <v>29</v>
      </c>
      <c r="E13" s="22"/>
      <c r="F13" s="9" t="s">
        <v>29</v>
      </c>
      <c r="G13" s="9" t="s">
        <v>29</v>
      </c>
      <c r="H13" s="9" t="s">
        <v>29</v>
      </c>
      <c r="I13" s="9" t="s">
        <v>29</v>
      </c>
      <c r="J13" s="9" t="s">
        <v>29</v>
      </c>
      <c r="K13" s="9" t="s">
        <v>29</v>
      </c>
      <c r="L13" s="9" t="s">
        <v>29</v>
      </c>
      <c r="M13" s="9" t="s">
        <v>29</v>
      </c>
      <c r="N13" s="9" t="s">
        <v>29</v>
      </c>
      <c r="O13" s="9" t="s">
        <v>29</v>
      </c>
      <c r="P13" s="9" t="s">
        <v>29</v>
      </c>
      <c r="Q13" s="9" t="s">
        <v>29</v>
      </c>
      <c r="R13" s="22"/>
      <c r="S13" s="9" t="s">
        <v>29</v>
      </c>
      <c r="T13" s="6" t="s">
        <v>29</v>
      </c>
      <c r="U13" s="5" t="str">
        <f t="shared" si="0"/>
        <v>-</v>
      </c>
      <c r="V13" s="25">
        <f>SUM(V3:V12)</f>
        <v>0</v>
      </c>
      <c r="W13" s="22"/>
      <c r="X13" s="23"/>
      <c r="Y13" s="23">
        <f>IFERROR(SUM(Y3:Y12),"-")</f>
        <v>0</v>
      </c>
      <c r="Z13" s="6" t="s">
        <v>29</v>
      </c>
      <c r="AA13" s="23">
        <f>IFERROR(SUM(AA3:AA12),"-")</f>
        <v>0</v>
      </c>
      <c r="AB13" s="9" t="s">
        <v>29</v>
      </c>
      <c r="AC13" s="23">
        <f>IFERROR(SUM(AC3:AC12),"-")</f>
        <v>0</v>
      </c>
      <c r="AD13" s="23">
        <f>IFERROR(SUM(AD3:AD12),"-")</f>
        <v>0</v>
      </c>
      <c r="AE13" s="24">
        <v>1</v>
      </c>
      <c r="AF13" s="22"/>
      <c r="AG13" s="25">
        <f>IFERROR(SUM(AG3:AG12),"-")</f>
        <v>0</v>
      </c>
      <c r="AH13" s="25" t="s">
        <v>29</v>
      </c>
      <c r="AI13" s="25" t="s">
        <v>29</v>
      </c>
      <c r="AJ13" s="23" t="str">
        <f t="shared" si="5"/>
        <v>-</v>
      </c>
      <c r="AK13" s="23" t="str">
        <f t="shared" si="6"/>
        <v>-</v>
      </c>
      <c r="AL13" s="6" t="s">
        <v>29</v>
      </c>
      <c r="AM13" s="6" t="s">
        <v>29</v>
      </c>
      <c r="AN13" s="22"/>
      <c r="AO13" s="24" t="str">
        <f t="shared" si="8"/>
        <v>-</v>
      </c>
      <c r="AP13" s="25">
        <f>IFERROR(SUM(AP3:AP12),"-")</f>
        <v>0</v>
      </c>
      <c r="AQ13" s="23" t="str">
        <f t="shared" si="9"/>
        <v>-</v>
      </c>
      <c r="AR13" s="22"/>
      <c r="AS13" s="24" t="str">
        <f t="shared" si="10"/>
        <v>-</v>
      </c>
      <c r="AT13" s="25">
        <f>IFERROR(SUM(AT3:AT12),"-")</f>
        <v>0</v>
      </c>
      <c r="AU13" s="23" t="str">
        <f t="shared" si="11"/>
        <v>-</v>
      </c>
      <c r="AV13" s="22"/>
    </row>
    <row r="14" spans="1:48" ht="13.8" x14ac:dyDescent="0.3">
      <c r="A14" s="26"/>
      <c r="B14" s="27"/>
      <c r="C14" s="27"/>
      <c r="D14" s="27"/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6"/>
      <c r="S14" s="27"/>
      <c r="T14" s="27"/>
      <c r="U14" s="27"/>
      <c r="V14" s="27"/>
      <c r="W14" s="26"/>
      <c r="X14" s="27"/>
      <c r="Y14" s="27"/>
      <c r="Z14" s="27"/>
      <c r="AA14" s="27"/>
      <c r="AB14" s="27"/>
      <c r="AC14" s="27"/>
      <c r="AD14" s="27"/>
      <c r="AE14" s="27"/>
      <c r="AF14" s="26"/>
      <c r="AG14" s="27"/>
      <c r="AH14" s="27"/>
      <c r="AI14" s="27"/>
      <c r="AJ14" s="27"/>
      <c r="AK14" s="27"/>
      <c r="AL14" s="27"/>
      <c r="AM14" s="27"/>
      <c r="AN14" s="26"/>
      <c r="AO14" s="27"/>
      <c r="AP14" s="27"/>
      <c r="AQ14" s="27"/>
      <c r="AR14" s="26"/>
      <c r="AS14" s="28"/>
      <c r="AT14" s="28"/>
      <c r="AU14" s="28"/>
      <c r="AV14" s="26"/>
    </row>
    <row r="15" spans="1:48" ht="17.25" customHeight="1" x14ac:dyDescent="0.3">
      <c r="A15" s="26"/>
      <c r="B15" s="12" t="s">
        <v>30</v>
      </c>
      <c r="C15" s="17">
        <f>IFERROR(AA13,"-")</f>
        <v>0</v>
      </c>
      <c r="D15" s="27"/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6"/>
      <c r="S15" s="27"/>
      <c r="T15" s="27"/>
      <c r="U15" s="27"/>
      <c r="V15" s="27"/>
      <c r="W15" s="26"/>
      <c r="X15" s="27"/>
      <c r="Y15" s="27"/>
      <c r="Z15" s="27"/>
      <c r="AA15" s="27"/>
      <c r="AB15" s="27"/>
      <c r="AC15" s="27"/>
      <c r="AD15" s="27"/>
      <c r="AE15" s="27"/>
      <c r="AF15" s="26"/>
      <c r="AG15" s="27"/>
      <c r="AH15" s="27"/>
      <c r="AI15" s="27"/>
      <c r="AJ15" s="27"/>
      <c r="AK15" s="27"/>
      <c r="AL15" s="27"/>
      <c r="AM15" s="27"/>
      <c r="AN15" s="26"/>
      <c r="AO15" s="27"/>
      <c r="AP15" s="27"/>
      <c r="AQ15" s="27"/>
      <c r="AR15" s="26"/>
      <c r="AS15" s="27"/>
      <c r="AT15" s="27"/>
      <c r="AU15" s="27"/>
      <c r="AV15" s="26"/>
    </row>
    <row r="16" spans="1:48" ht="17.25" customHeight="1" x14ac:dyDescent="0.3">
      <c r="A16" s="26"/>
      <c r="B16" s="12" t="s">
        <v>31</v>
      </c>
      <c r="C16" s="17">
        <f>IFERROR((AC13-AA13),"-")</f>
        <v>0</v>
      </c>
      <c r="D16" s="27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6"/>
      <c r="S16" s="27"/>
      <c r="T16" s="27"/>
      <c r="U16" s="27"/>
      <c r="V16" s="27"/>
      <c r="W16" s="26"/>
      <c r="X16" s="27"/>
      <c r="Y16" s="27"/>
      <c r="Z16" s="27"/>
      <c r="AA16" s="27"/>
      <c r="AB16" s="27"/>
      <c r="AC16" s="27"/>
      <c r="AD16" s="27"/>
      <c r="AE16" s="27"/>
      <c r="AF16" s="26"/>
      <c r="AG16" s="27"/>
      <c r="AH16" s="27"/>
      <c r="AI16" s="27"/>
      <c r="AJ16" s="27"/>
      <c r="AK16" s="27"/>
      <c r="AL16" s="27"/>
      <c r="AM16" s="27"/>
      <c r="AN16" s="26"/>
      <c r="AO16" s="27"/>
      <c r="AP16" s="27"/>
      <c r="AQ16" s="27"/>
      <c r="AR16" s="26"/>
      <c r="AS16" s="27"/>
      <c r="AT16" s="27"/>
      <c r="AU16" s="27"/>
      <c r="AV16" s="26"/>
    </row>
    <row r="17" spans="1:48" ht="17.25" customHeight="1" x14ac:dyDescent="0.3">
      <c r="A17" s="26"/>
      <c r="B17" s="12" t="s">
        <v>32</v>
      </c>
      <c r="C17" s="17">
        <f>IFERROR(SUM(C15:C16),"-")</f>
        <v>0</v>
      </c>
      <c r="D17" s="27"/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6"/>
      <c r="S17" s="27"/>
      <c r="T17" s="27"/>
      <c r="U17" s="27"/>
      <c r="V17" s="27"/>
      <c r="W17" s="26"/>
      <c r="X17" s="27"/>
      <c r="Y17" s="27"/>
      <c r="Z17" s="27"/>
      <c r="AA17" s="27"/>
      <c r="AB17" s="27"/>
      <c r="AC17" s="27"/>
      <c r="AD17" s="27"/>
      <c r="AE17" s="27"/>
      <c r="AF17" s="26"/>
      <c r="AG17" s="27"/>
      <c r="AH17" s="27"/>
      <c r="AI17" s="27"/>
      <c r="AJ17" s="27"/>
      <c r="AK17" s="27"/>
      <c r="AL17" s="27"/>
      <c r="AM17" s="27"/>
      <c r="AN17" s="26"/>
      <c r="AO17" s="27"/>
      <c r="AP17" s="27"/>
      <c r="AQ17" s="27"/>
      <c r="AR17" s="26"/>
      <c r="AS17" s="27"/>
      <c r="AT17" s="27"/>
      <c r="AU17" s="27"/>
      <c r="AV17" s="26"/>
    </row>
    <row r="18" spans="1:48" ht="17.25" customHeight="1" x14ac:dyDescent="0.3">
      <c r="A18" s="26"/>
      <c r="B18" s="12" t="s">
        <v>33</v>
      </c>
      <c r="C18" s="17">
        <f>IFERROR((AD13-AC13),"-")</f>
        <v>0</v>
      </c>
      <c r="D18" s="27"/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6"/>
      <c r="S18" s="27"/>
      <c r="T18" s="27"/>
      <c r="U18" s="27"/>
      <c r="V18" s="27"/>
      <c r="W18" s="26"/>
      <c r="X18" s="27"/>
      <c r="Y18" s="27"/>
      <c r="Z18" s="27"/>
      <c r="AA18" s="27"/>
      <c r="AB18" s="27"/>
      <c r="AC18" s="27"/>
      <c r="AD18" s="27"/>
      <c r="AE18" s="27"/>
      <c r="AF18" s="26"/>
      <c r="AG18" s="27"/>
      <c r="AH18" s="27"/>
      <c r="AI18" s="27"/>
      <c r="AJ18" s="27"/>
      <c r="AK18" s="27"/>
      <c r="AL18" s="27"/>
      <c r="AM18" s="27"/>
      <c r="AN18" s="26"/>
      <c r="AO18" s="27"/>
      <c r="AP18" s="27"/>
      <c r="AQ18" s="27"/>
      <c r="AR18" s="26"/>
      <c r="AS18" s="27"/>
      <c r="AT18" s="27"/>
      <c r="AU18" s="27"/>
      <c r="AV18" s="26"/>
    </row>
    <row r="19" spans="1:48" ht="17.25" customHeight="1" x14ac:dyDescent="0.3">
      <c r="A19" s="26"/>
      <c r="B19" s="12" t="s">
        <v>34</v>
      </c>
      <c r="C19" s="17">
        <f>IFERROR(SUM(C17:C18),"-")</f>
        <v>0</v>
      </c>
      <c r="D19" s="27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6"/>
      <c r="S19" s="27"/>
      <c r="T19" s="27"/>
      <c r="U19" s="27"/>
      <c r="V19" s="27"/>
      <c r="W19" s="26"/>
      <c r="X19" s="27"/>
      <c r="Y19" s="27"/>
      <c r="Z19" s="27"/>
      <c r="AA19" s="27"/>
      <c r="AB19" s="27"/>
      <c r="AC19" s="27"/>
      <c r="AD19" s="27"/>
      <c r="AE19" s="27"/>
      <c r="AF19" s="26"/>
      <c r="AG19" s="27"/>
      <c r="AH19" s="27"/>
      <c r="AI19" s="27"/>
      <c r="AJ19" s="27"/>
      <c r="AK19" s="27"/>
      <c r="AL19" s="27"/>
      <c r="AM19" s="27"/>
      <c r="AN19" s="26"/>
      <c r="AO19" s="27"/>
      <c r="AP19" s="27"/>
      <c r="AQ19" s="27"/>
      <c r="AR19" s="26"/>
      <c r="AS19" s="27"/>
      <c r="AT19" s="27"/>
      <c r="AU19" s="27"/>
      <c r="AV19" s="26"/>
    </row>
    <row r="20" spans="1:48" ht="17.25" customHeight="1" x14ac:dyDescent="0.3">
      <c r="A20" s="26"/>
      <c r="B20" s="12" t="s">
        <v>35</v>
      </c>
      <c r="C20" s="17">
        <v>0</v>
      </c>
      <c r="D20" s="27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6"/>
      <c r="S20" s="27"/>
      <c r="T20" s="27"/>
      <c r="U20" s="27"/>
      <c r="V20" s="27"/>
      <c r="W20" s="26"/>
      <c r="X20" s="27"/>
      <c r="Y20" s="27"/>
      <c r="Z20" s="27"/>
      <c r="AA20" s="27"/>
      <c r="AB20" s="27"/>
      <c r="AC20" s="27"/>
      <c r="AD20" s="27"/>
      <c r="AE20" s="27"/>
      <c r="AF20" s="26"/>
      <c r="AG20" s="27"/>
      <c r="AH20" s="27"/>
      <c r="AI20" s="27"/>
      <c r="AJ20" s="27"/>
      <c r="AK20" s="27"/>
      <c r="AL20" s="27"/>
      <c r="AM20" s="27"/>
      <c r="AN20" s="26"/>
      <c r="AO20" s="27"/>
      <c r="AP20" s="27"/>
      <c r="AQ20" s="27"/>
      <c r="AR20" s="26"/>
      <c r="AS20" s="27"/>
      <c r="AT20" s="27"/>
      <c r="AU20" s="27"/>
      <c r="AV20" s="26"/>
    </row>
    <row r="21" spans="1:48" ht="17.25" customHeight="1" x14ac:dyDescent="0.3">
      <c r="A21" s="26"/>
      <c r="B21" s="12" t="s">
        <v>36</v>
      </c>
      <c r="C21" s="17">
        <v>0</v>
      </c>
      <c r="D21" s="27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6"/>
      <c r="S21" s="27"/>
      <c r="T21" s="27"/>
      <c r="U21" s="27"/>
      <c r="V21" s="27"/>
      <c r="W21" s="26"/>
      <c r="X21" s="27"/>
      <c r="Y21" s="27"/>
      <c r="Z21" s="27"/>
      <c r="AA21" s="27"/>
      <c r="AB21" s="27"/>
      <c r="AC21" s="27"/>
      <c r="AD21" s="27"/>
      <c r="AE21" s="27"/>
      <c r="AF21" s="26"/>
      <c r="AG21" s="27"/>
      <c r="AH21" s="27"/>
      <c r="AI21" s="27"/>
      <c r="AJ21" s="27"/>
      <c r="AK21" s="27"/>
      <c r="AL21" s="27"/>
      <c r="AM21" s="27"/>
      <c r="AN21" s="26"/>
      <c r="AO21" s="27"/>
      <c r="AP21" s="27"/>
      <c r="AQ21" s="27"/>
      <c r="AR21" s="26"/>
      <c r="AS21" s="27"/>
      <c r="AT21" s="27"/>
      <c r="AU21" s="27"/>
      <c r="AV21" s="26"/>
    </row>
    <row r="22" spans="1:48" ht="17.25" customHeight="1" x14ac:dyDescent="0.3">
      <c r="A22" s="31"/>
      <c r="B22" s="6" t="s">
        <v>37</v>
      </c>
      <c r="C22" s="23">
        <f>IFERROR(SUM(C19:C21),"-")</f>
        <v>0</v>
      </c>
      <c r="D22" s="32"/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1"/>
      <c r="S22" s="32"/>
      <c r="T22" s="32"/>
      <c r="U22" s="32"/>
      <c r="V22" s="32"/>
      <c r="W22" s="31"/>
      <c r="X22" s="32"/>
      <c r="Y22" s="32"/>
      <c r="Z22" s="32"/>
      <c r="AA22" s="32"/>
      <c r="AB22" s="32"/>
      <c r="AC22" s="32"/>
      <c r="AD22" s="32"/>
      <c r="AE22" s="32"/>
      <c r="AF22" s="31"/>
      <c r="AG22" s="32"/>
      <c r="AH22" s="32"/>
      <c r="AI22" s="32"/>
      <c r="AJ22" s="32"/>
      <c r="AK22" s="32"/>
      <c r="AL22" s="32"/>
      <c r="AM22" s="32"/>
      <c r="AN22" s="31"/>
      <c r="AO22" s="32"/>
      <c r="AP22" s="32"/>
      <c r="AQ22" s="32"/>
      <c r="AR22" s="31"/>
      <c r="AS22" s="32"/>
      <c r="AT22" s="32"/>
      <c r="AU22" s="32"/>
      <c r="AV22" s="31"/>
    </row>
    <row r="23" spans="1:48" ht="11.25" customHeight="1" x14ac:dyDescent="0.3">
      <c r="A23" s="26"/>
      <c r="B23" s="27"/>
      <c r="C23" s="27"/>
      <c r="D23" s="27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6"/>
      <c r="S23" s="27"/>
      <c r="T23" s="27"/>
      <c r="U23" s="27"/>
      <c r="V23" s="27"/>
      <c r="W23" s="26"/>
      <c r="X23" s="27"/>
      <c r="Y23" s="27"/>
      <c r="Z23" s="27"/>
      <c r="AA23" s="27"/>
      <c r="AB23" s="27"/>
      <c r="AC23" s="27"/>
      <c r="AD23" s="27"/>
      <c r="AE23" s="27"/>
      <c r="AF23" s="26"/>
      <c r="AG23" s="27"/>
      <c r="AH23" s="27"/>
      <c r="AI23" s="27"/>
      <c r="AJ23" s="27"/>
      <c r="AK23" s="27"/>
      <c r="AL23" s="27"/>
      <c r="AM23" s="27"/>
      <c r="AN23" s="26"/>
      <c r="AO23" s="27"/>
      <c r="AP23" s="27"/>
      <c r="AQ23" s="27"/>
      <c r="AR23" s="26"/>
      <c r="AS23" s="28"/>
      <c r="AT23" s="28"/>
      <c r="AU23" s="28"/>
      <c r="AV23" s="26"/>
    </row>
    <row r="24" spans="1:48" ht="15.75" customHeight="1" x14ac:dyDescent="0.3">
      <c r="A24" s="26"/>
      <c r="B24" s="27"/>
      <c r="C24" s="27"/>
      <c r="D24" s="27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6"/>
      <c r="S24" s="27"/>
      <c r="T24" s="27"/>
      <c r="U24" s="27"/>
      <c r="V24" s="27"/>
      <c r="W24" s="26"/>
      <c r="X24" s="27"/>
      <c r="Y24" s="27"/>
      <c r="Z24" s="27"/>
      <c r="AA24" s="27"/>
      <c r="AB24" s="27"/>
      <c r="AC24" s="27"/>
      <c r="AD24" s="27"/>
      <c r="AE24" s="27"/>
      <c r="AF24" s="26"/>
      <c r="AG24" s="27"/>
      <c r="AH24" s="27"/>
      <c r="AI24" s="27"/>
      <c r="AJ24" s="27"/>
      <c r="AK24" s="27"/>
      <c r="AL24" s="27"/>
      <c r="AM24" s="27"/>
      <c r="AN24" s="26"/>
      <c r="AO24" s="27"/>
      <c r="AP24" s="27"/>
      <c r="AQ24" s="27"/>
      <c r="AR24" s="26"/>
      <c r="AS24" s="27"/>
      <c r="AT24" s="27"/>
      <c r="AU24" s="27"/>
      <c r="AV24" s="26"/>
    </row>
    <row r="25" spans="1:48" ht="15.75" customHeight="1" x14ac:dyDescent="0.3">
      <c r="A25" s="26"/>
      <c r="B25" s="27"/>
      <c r="C25" s="27"/>
      <c r="D25" s="27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6"/>
      <c r="S25" s="27"/>
      <c r="T25" s="27"/>
      <c r="U25" s="27"/>
      <c r="V25" s="27"/>
      <c r="W25" s="26"/>
      <c r="X25" s="27"/>
      <c r="Y25" s="27"/>
      <c r="Z25" s="27"/>
      <c r="AA25" s="27"/>
      <c r="AB25" s="27"/>
      <c r="AC25" s="27"/>
      <c r="AD25" s="27"/>
      <c r="AE25" s="27"/>
      <c r="AF25" s="26"/>
      <c r="AG25" s="27"/>
      <c r="AH25" s="27"/>
      <c r="AI25" s="27"/>
      <c r="AJ25" s="27"/>
      <c r="AK25" s="27"/>
      <c r="AL25" s="27"/>
      <c r="AM25" s="27"/>
      <c r="AN25" s="26"/>
      <c r="AO25" s="27"/>
      <c r="AP25" s="27"/>
      <c r="AQ25" s="27"/>
      <c r="AR25" s="26"/>
      <c r="AS25" s="27"/>
      <c r="AT25" s="27"/>
      <c r="AU25" s="27"/>
      <c r="AV25" s="26"/>
    </row>
    <row r="26" spans="1:48" ht="15.75" customHeight="1" x14ac:dyDescent="0.3">
      <c r="A26" s="26"/>
      <c r="B26" s="27"/>
      <c r="C26" s="27"/>
      <c r="D26" s="27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6"/>
      <c r="S26" s="27"/>
      <c r="T26" s="27"/>
      <c r="U26" s="27"/>
      <c r="V26" s="27"/>
      <c r="W26" s="26"/>
      <c r="X26" s="27"/>
      <c r="Y26" s="27"/>
      <c r="Z26" s="27"/>
      <c r="AA26" s="27"/>
      <c r="AB26" s="27"/>
      <c r="AC26" s="27"/>
      <c r="AD26" s="27"/>
      <c r="AE26" s="27"/>
      <c r="AF26" s="26"/>
      <c r="AG26" s="27"/>
      <c r="AH26" s="27"/>
      <c r="AI26" s="27"/>
      <c r="AJ26" s="27"/>
      <c r="AK26" s="27"/>
      <c r="AL26" s="27"/>
      <c r="AM26" s="27"/>
      <c r="AN26" s="26"/>
      <c r="AO26" s="27"/>
      <c r="AP26" s="27"/>
      <c r="AQ26" s="27"/>
      <c r="AR26" s="26"/>
      <c r="AS26" s="27"/>
      <c r="AT26" s="27"/>
      <c r="AU26" s="27"/>
      <c r="AV26" s="26"/>
    </row>
    <row r="27" spans="1:48" ht="15.75" customHeight="1" x14ac:dyDescent="0.3">
      <c r="A27" s="26"/>
      <c r="B27" s="27"/>
      <c r="C27" s="27"/>
      <c r="D27" s="27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6"/>
      <c r="S27" s="27"/>
      <c r="T27" s="27"/>
      <c r="U27" s="27"/>
      <c r="V27" s="27"/>
      <c r="W27" s="26"/>
      <c r="X27" s="27"/>
      <c r="Y27" s="27"/>
      <c r="Z27" s="27"/>
      <c r="AA27" s="27"/>
      <c r="AB27" s="27"/>
      <c r="AC27" s="27"/>
      <c r="AD27" s="27"/>
      <c r="AE27" s="27"/>
      <c r="AF27" s="26"/>
      <c r="AG27" s="27"/>
      <c r="AH27" s="27"/>
      <c r="AI27" s="27"/>
      <c r="AJ27" s="27"/>
      <c r="AK27" s="27"/>
      <c r="AL27" s="27"/>
      <c r="AM27" s="27"/>
      <c r="AN27" s="26"/>
      <c r="AO27" s="27"/>
      <c r="AP27" s="27"/>
      <c r="AQ27" s="27"/>
      <c r="AR27" s="26"/>
      <c r="AS27" s="27"/>
      <c r="AT27" s="27"/>
      <c r="AU27" s="27"/>
      <c r="AV27" s="26"/>
    </row>
    <row r="28" spans="1:48" ht="15.75" customHeight="1" x14ac:dyDescent="0.3">
      <c r="A28" s="26"/>
      <c r="B28" s="27"/>
      <c r="C28" s="27"/>
      <c r="D28" s="27"/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6"/>
      <c r="S28" s="27"/>
      <c r="T28" s="27"/>
      <c r="U28" s="27"/>
      <c r="V28" s="27"/>
      <c r="W28" s="26"/>
      <c r="X28" s="27"/>
      <c r="Y28" s="27"/>
      <c r="Z28" s="27"/>
      <c r="AA28" s="27"/>
      <c r="AB28" s="27"/>
      <c r="AC28" s="27"/>
      <c r="AD28" s="27"/>
      <c r="AE28" s="27"/>
      <c r="AF28" s="26"/>
      <c r="AG28" s="27"/>
      <c r="AH28" s="27"/>
      <c r="AI28" s="27"/>
      <c r="AJ28" s="27"/>
      <c r="AK28" s="27"/>
      <c r="AL28" s="27"/>
      <c r="AM28" s="27"/>
      <c r="AN28" s="26"/>
      <c r="AO28" s="27"/>
      <c r="AP28" s="27"/>
      <c r="AQ28" s="27"/>
      <c r="AR28" s="26"/>
      <c r="AS28" s="27"/>
      <c r="AT28" s="27"/>
      <c r="AU28" s="27"/>
      <c r="AV28" s="26"/>
    </row>
    <row r="29" spans="1:48" ht="15.75" customHeight="1" x14ac:dyDescent="0.3">
      <c r="A29" s="26"/>
      <c r="B29" s="27"/>
      <c r="C29" s="27"/>
      <c r="D29" s="27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6"/>
      <c r="S29" s="27"/>
      <c r="T29" s="27"/>
      <c r="U29" s="27"/>
      <c r="V29" s="27"/>
      <c r="W29" s="26"/>
      <c r="X29" s="27"/>
      <c r="Y29" s="27"/>
      <c r="Z29" s="27"/>
      <c r="AA29" s="27"/>
      <c r="AB29" s="27"/>
      <c r="AC29" s="27"/>
      <c r="AD29" s="27"/>
      <c r="AE29" s="27"/>
      <c r="AF29" s="26"/>
      <c r="AG29" s="27"/>
      <c r="AH29" s="27"/>
      <c r="AI29" s="27"/>
      <c r="AJ29" s="27"/>
      <c r="AK29" s="27"/>
      <c r="AL29" s="27"/>
      <c r="AM29" s="27"/>
      <c r="AN29" s="26"/>
      <c r="AO29" s="27"/>
      <c r="AP29" s="27"/>
      <c r="AQ29" s="27"/>
      <c r="AR29" s="26"/>
      <c r="AS29" s="27"/>
      <c r="AT29" s="27"/>
      <c r="AU29" s="27"/>
      <c r="AV29" s="26"/>
    </row>
    <row r="30" spans="1:48" ht="15.75" customHeight="1" x14ac:dyDescent="0.3">
      <c r="A30" s="26"/>
      <c r="B30" s="27"/>
      <c r="C30" s="27"/>
      <c r="D30" s="27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6"/>
      <c r="S30" s="27"/>
      <c r="T30" s="27"/>
      <c r="U30" s="27"/>
      <c r="V30" s="27"/>
      <c r="W30" s="26"/>
      <c r="X30" s="27"/>
      <c r="Y30" s="27"/>
      <c r="Z30" s="27"/>
      <c r="AA30" s="27"/>
      <c r="AB30" s="27"/>
      <c r="AC30" s="27"/>
      <c r="AD30" s="27"/>
      <c r="AE30" s="27"/>
      <c r="AF30" s="26"/>
      <c r="AG30" s="27"/>
      <c r="AH30" s="27"/>
      <c r="AI30" s="27"/>
      <c r="AJ30" s="27"/>
      <c r="AK30" s="27"/>
      <c r="AL30" s="27"/>
      <c r="AM30" s="27"/>
      <c r="AN30" s="26"/>
      <c r="AO30" s="27"/>
      <c r="AP30" s="27"/>
      <c r="AQ30" s="27"/>
      <c r="AR30" s="26"/>
      <c r="AS30" s="27"/>
      <c r="AT30" s="27"/>
      <c r="AU30" s="27"/>
      <c r="AV30" s="26"/>
    </row>
    <row r="31" spans="1:48" ht="15.75" customHeight="1" x14ac:dyDescent="0.3">
      <c r="A31" s="26"/>
      <c r="B31" s="27"/>
      <c r="C31" s="27"/>
      <c r="D31" s="27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6"/>
      <c r="S31" s="27"/>
      <c r="T31" s="27"/>
      <c r="U31" s="27"/>
      <c r="V31" s="27"/>
      <c r="W31" s="26"/>
      <c r="X31" s="27"/>
      <c r="Y31" s="27"/>
      <c r="Z31" s="27"/>
      <c r="AA31" s="27"/>
      <c r="AB31" s="27"/>
      <c r="AC31" s="27"/>
      <c r="AD31" s="27"/>
      <c r="AE31" s="27"/>
      <c r="AF31" s="26"/>
      <c r="AG31" s="27"/>
      <c r="AH31" s="27"/>
      <c r="AI31" s="27"/>
      <c r="AJ31" s="27"/>
      <c r="AK31" s="27"/>
      <c r="AL31" s="27"/>
      <c r="AM31" s="27"/>
      <c r="AN31" s="26"/>
      <c r="AO31" s="27"/>
      <c r="AP31" s="27"/>
      <c r="AQ31" s="27"/>
      <c r="AR31" s="26"/>
      <c r="AS31" s="27"/>
      <c r="AT31" s="27"/>
      <c r="AU31" s="27"/>
      <c r="AV31" s="26"/>
    </row>
    <row r="32" spans="1:48" ht="15.75" customHeight="1" x14ac:dyDescent="0.3">
      <c r="A32" s="26"/>
      <c r="B32" s="27"/>
      <c r="C32" s="27"/>
      <c r="D32" s="27"/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6"/>
      <c r="S32" s="27"/>
      <c r="T32" s="27"/>
      <c r="U32" s="27"/>
      <c r="V32" s="27"/>
      <c r="W32" s="26"/>
      <c r="X32" s="27"/>
      <c r="Y32" s="27"/>
      <c r="Z32" s="27"/>
      <c r="AA32" s="27"/>
      <c r="AB32" s="27"/>
      <c r="AC32" s="27"/>
      <c r="AD32" s="27"/>
      <c r="AE32" s="27"/>
      <c r="AF32" s="26"/>
      <c r="AG32" s="27"/>
      <c r="AH32" s="27"/>
      <c r="AI32" s="27"/>
      <c r="AJ32" s="27"/>
      <c r="AK32" s="27"/>
      <c r="AL32" s="27"/>
      <c r="AM32" s="27"/>
      <c r="AN32" s="26"/>
      <c r="AO32" s="27"/>
      <c r="AP32" s="27"/>
      <c r="AQ32" s="27"/>
      <c r="AR32" s="26"/>
      <c r="AS32" s="27"/>
      <c r="AT32" s="27"/>
      <c r="AU32" s="27"/>
      <c r="AV32" s="26"/>
    </row>
    <row r="33" spans="1:48" ht="15.75" customHeight="1" x14ac:dyDescent="0.3">
      <c r="A33" s="26"/>
      <c r="B33" s="27"/>
      <c r="C33" s="27"/>
      <c r="D33" s="27"/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6"/>
      <c r="S33" s="27"/>
      <c r="T33" s="27"/>
      <c r="U33" s="27"/>
      <c r="V33" s="27"/>
      <c r="W33" s="26"/>
      <c r="X33" s="27"/>
      <c r="Y33" s="27"/>
      <c r="Z33" s="27"/>
      <c r="AA33" s="27"/>
      <c r="AB33" s="27"/>
      <c r="AC33" s="27"/>
      <c r="AD33" s="27"/>
      <c r="AE33" s="27"/>
      <c r="AF33" s="26"/>
      <c r="AG33" s="27"/>
      <c r="AH33" s="27"/>
      <c r="AI33" s="27"/>
      <c r="AJ33" s="27"/>
      <c r="AK33" s="27"/>
      <c r="AL33" s="27"/>
      <c r="AM33" s="27"/>
      <c r="AN33" s="26"/>
      <c r="AO33" s="27"/>
      <c r="AP33" s="27"/>
      <c r="AQ33" s="27"/>
      <c r="AR33" s="26"/>
      <c r="AS33" s="27"/>
      <c r="AT33" s="27"/>
      <c r="AU33" s="27"/>
      <c r="AV33" s="26"/>
    </row>
    <row r="34" spans="1:48" ht="15.75" customHeight="1" x14ac:dyDescent="0.3">
      <c r="A34" s="26"/>
      <c r="B34" s="27"/>
      <c r="C34" s="27"/>
      <c r="D34" s="27"/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6"/>
      <c r="S34" s="27"/>
      <c r="T34" s="27"/>
      <c r="U34" s="27"/>
      <c r="V34" s="27"/>
      <c r="W34" s="26"/>
      <c r="X34" s="27"/>
      <c r="Y34" s="27"/>
      <c r="Z34" s="27"/>
      <c r="AA34" s="27"/>
      <c r="AB34" s="27"/>
      <c r="AC34" s="27"/>
      <c r="AD34" s="27"/>
      <c r="AE34" s="27"/>
      <c r="AF34" s="26"/>
      <c r="AG34" s="27"/>
      <c r="AH34" s="27"/>
      <c r="AI34" s="27"/>
      <c r="AJ34" s="27"/>
      <c r="AK34" s="27"/>
      <c r="AL34" s="27"/>
      <c r="AM34" s="27"/>
      <c r="AN34" s="26"/>
      <c r="AO34" s="27"/>
      <c r="AP34" s="27"/>
      <c r="AQ34" s="27"/>
      <c r="AR34" s="26"/>
      <c r="AS34" s="27"/>
      <c r="AT34" s="27"/>
      <c r="AU34" s="27"/>
      <c r="AV34" s="26"/>
    </row>
    <row r="35" spans="1:48" ht="15.75" customHeight="1" x14ac:dyDescent="0.3">
      <c r="A35" s="26"/>
      <c r="B35" s="27"/>
      <c r="C35" s="27"/>
      <c r="D35" s="27"/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6"/>
      <c r="S35" s="27"/>
      <c r="T35" s="27"/>
      <c r="U35" s="27"/>
      <c r="V35" s="27"/>
      <c r="W35" s="26"/>
      <c r="X35" s="27"/>
      <c r="Y35" s="27"/>
      <c r="Z35" s="27"/>
      <c r="AA35" s="27"/>
      <c r="AB35" s="27"/>
      <c r="AC35" s="27"/>
      <c r="AD35" s="27"/>
      <c r="AE35" s="27"/>
      <c r="AF35" s="26"/>
      <c r="AG35" s="27"/>
      <c r="AH35" s="27"/>
      <c r="AI35" s="27"/>
      <c r="AJ35" s="27"/>
      <c r="AK35" s="27"/>
      <c r="AL35" s="27"/>
      <c r="AM35" s="27"/>
      <c r="AN35" s="26"/>
      <c r="AO35" s="27"/>
      <c r="AP35" s="27"/>
      <c r="AQ35" s="27"/>
      <c r="AR35" s="26"/>
      <c r="AS35" s="27"/>
      <c r="AT35" s="27"/>
      <c r="AU35" s="27"/>
      <c r="AV35" s="26"/>
    </row>
    <row r="36" spans="1:48" ht="15.75" customHeight="1" x14ac:dyDescent="0.3">
      <c r="A36" s="26"/>
      <c r="B36" s="27"/>
      <c r="C36" s="27"/>
      <c r="D36" s="27"/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6"/>
      <c r="S36" s="27"/>
      <c r="T36" s="27"/>
      <c r="U36" s="27"/>
      <c r="V36" s="27"/>
      <c r="W36" s="26"/>
      <c r="X36" s="27"/>
      <c r="Y36" s="27"/>
      <c r="Z36" s="27"/>
      <c r="AA36" s="27"/>
      <c r="AB36" s="27"/>
      <c r="AC36" s="27"/>
      <c r="AD36" s="27"/>
      <c r="AE36" s="27"/>
      <c r="AF36" s="26"/>
      <c r="AG36" s="27"/>
      <c r="AH36" s="27"/>
      <c r="AI36" s="27"/>
      <c r="AJ36" s="27"/>
      <c r="AK36" s="27"/>
      <c r="AL36" s="27"/>
      <c r="AM36" s="27"/>
      <c r="AN36" s="26"/>
      <c r="AO36" s="27"/>
      <c r="AP36" s="27"/>
      <c r="AQ36" s="27"/>
      <c r="AR36" s="26"/>
      <c r="AS36" s="27"/>
      <c r="AT36" s="27"/>
      <c r="AU36" s="27"/>
      <c r="AV36" s="26"/>
    </row>
    <row r="37" spans="1:48" ht="15.75" customHeight="1" x14ac:dyDescent="0.3">
      <c r="A37" s="26"/>
      <c r="B37" s="27"/>
      <c r="C37" s="27"/>
      <c r="D37" s="27"/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6"/>
      <c r="S37" s="27"/>
      <c r="T37" s="27"/>
      <c r="U37" s="27"/>
      <c r="V37" s="27"/>
      <c r="W37" s="26"/>
      <c r="X37" s="27"/>
      <c r="Y37" s="27"/>
      <c r="Z37" s="27"/>
      <c r="AA37" s="27"/>
      <c r="AB37" s="27"/>
      <c r="AC37" s="27"/>
      <c r="AD37" s="27"/>
      <c r="AE37" s="27"/>
      <c r="AF37" s="26"/>
      <c r="AG37" s="27"/>
      <c r="AH37" s="27"/>
      <c r="AI37" s="27"/>
      <c r="AJ37" s="27"/>
      <c r="AK37" s="27"/>
      <c r="AL37" s="27"/>
      <c r="AM37" s="27"/>
      <c r="AN37" s="26"/>
      <c r="AO37" s="27"/>
      <c r="AP37" s="27"/>
      <c r="AQ37" s="27"/>
      <c r="AR37" s="26"/>
      <c r="AS37" s="27"/>
      <c r="AT37" s="27"/>
      <c r="AU37" s="27"/>
      <c r="AV37" s="26"/>
    </row>
    <row r="38" spans="1:48" ht="15.75" customHeight="1" x14ac:dyDescent="0.3">
      <c r="A38" s="26"/>
      <c r="B38" s="27"/>
      <c r="C38" s="27"/>
      <c r="D38" s="27"/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6"/>
      <c r="S38" s="27"/>
      <c r="T38" s="27"/>
      <c r="U38" s="27"/>
      <c r="V38" s="27"/>
      <c r="W38" s="26"/>
      <c r="X38" s="27"/>
      <c r="Y38" s="27"/>
      <c r="Z38" s="27"/>
      <c r="AA38" s="27"/>
      <c r="AB38" s="27"/>
      <c r="AC38" s="27"/>
      <c r="AD38" s="27"/>
      <c r="AE38" s="27"/>
      <c r="AF38" s="26"/>
      <c r="AG38" s="27"/>
      <c r="AH38" s="27"/>
      <c r="AI38" s="27"/>
      <c r="AJ38" s="27"/>
      <c r="AK38" s="27"/>
      <c r="AL38" s="27"/>
      <c r="AM38" s="27"/>
      <c r="AN38" s="26"/>
      <c r="AO38" s="27"/>
      <c r="AP38" s="27"/>
      <c r="AQ38" s="27"/>
      <c r="AR38" s="26"/>
      <c r="AS38" s="27"/>
      <c r="AT38" s="27"/>
      <c r="AU38" s="27"/>
      <c r="AV38" s="26"/>
    </row>
    <row r="39" spans="1:48" ht="15.75" customHeight="1" x14ac:dyDescent="0.3">
      <c r="A39" s="26"/>
      <c r="B39" s="27"/>
      <c r="C39" s="27"/>
      <c r="D39" s="27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6"/>
      <c r="S39" s="27"/>
      <c r="T39" s="27"/>
      <c r="U39" s="27"/>
      <c r="V39" s="27"/>
      <c r="W39" s="26"/>
      <c r="X39" s="27"/>
      <c r="Y39" s="27"/>
      <c r="Z39" s="27"/>
      <c r="AA39" s="27"/>
      <c r="AB39" s="27"/>
      <c r="AC39" s="27"/>
      <c r="AD39" s="27"/>
      <c r="AE39" s="27"/>
      <c r="AF39" s="26"/>
      <c r="AG39" s="27"/>
      <c r="AH39" s="27"/>
      <c r="AI39" s="27"/>
      <c r="AJ39" s="27"/>
      <c r="AK39" s="27"/>
      <c r="AL39" s="27"/>
      <c r="AM39" s="27"/>
      <c r="AN39" s="26"/>
      <c r="AO39" s="27"/>
      <c r="AP39" s="27"/>
      <c r="AQ39" s="27"/>
      <c r="AR39" s="26"/>
      <c r="AS39" s="27"/>
      <c r="AT39" s="27"/>
      <c r="AU39" s="27"/>
      <c r="AV39" s="26"/>
    </row>
    <row r="40" spans="1:48" ht="15.75" customHeight="1" x14ac:dyDescent="0.3">
      <c r="A40" s="26"/>
      <c r="B40" s="27"/>
      <c r="C40" s="27"/>
      <c r="D40" s="27"/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6"/>
      <c r="S40" s="27"/>
      <c r="T40" s="27"/>
      <c r="U40" s="27"/>
      <c r="V40" s="27"/>
      <c r="W40" s="26"/>
      <c r="X40" s="27"/>
      <c r="Y40" s="27"/>
      <c r="Z40" s="27"/>
      <c r="AA40" s="27"/>
      <c r="AB40" s="27"/>
      <c r="AC40" s="27"/>
      <c r="AD40" s="27"/>
      <c r="AE40" s="27"/>
      <c r="AF40" s="26"/>
      <c r="AG40" s="27"/>
      <c r="AH40" s="27"/>
      <c r="AI40" s="27"/>
      <c r="AJ40" s="27"/>
      <c r="AK40" s="27"/>
      <c r="AL40" s="27"/>
      <c r="AM40" s="27"/>
      <c r="AN40" s="26"/>
      <c r="AO40" s="27"/>
      <c r="AP40" s="27"/>
      <c r="AQ40" s="27"/>
      <c r="AR40" s="26"/>
      <c r="AS40" s="27"/>
      <c r="AT40" s="27"/>
      <c r="AU40" s="27"/>
      <c r="AV40" s="26"/>
    </row>
    <row r="41" spans="1:48" ht="15.75" customHeight="1" x14ac:dyDescent="0.3">
      <c r="A41" s="26"/>
      <c r="B41" s="27"/>
      <c r="C41" s="27"/>
      <c r="D41" s="27"/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6"/>
      <c r="S41" s="27"/>
      <c r="T41" s="27"/>
      <c r="U41" s="27"/>
      <c r="V41" s="27"/>
      <c r="W41" s="26"/>
      <c r="X41" s="27"/>
      <c r="Y41" s="27"/>
      <c r="Z41" s="27"/>
      <c r="AA41" s="27"/>
      <c r="AB41" s="27"/>
      <c r="AC41" s="27"/>
      <c r="AD41" s="27"/>
      <c r="AE41" s="27"/>
      <c r="AF41" s="26"/>
      <c r="AG41" s="27"/>
      <c r="AH41" s="27"/>
      <c r="AI41" s="27"/>
      <c r="AJ41" s="27"/>
      <c r="AK41" s="27"/>
      <c r="AL41" s="27"/>
      <c r="AM41" s="27"/>
      <c r="AN41" s="26"/>
      <c r="AO41" s="27"/>
      <c r="AP41" s="27"/>
      <c r="AQ41" s="27"/>
      <c r="AR41" s="26"/>
      <c r="AS41" s="27"/>
      <c r="AT41" s="27"/>
      <c r="AU41" s="27"/>
      <c r="AV41" s="26"/>
    </row>
    <row r="42" spans="1:48" ht="15.75" customHeight="1" x14ac:dyDescent="0.3">
      <c r="A42" s="26"/>
      <c r="B42" s="27"/>
      <c r="C42" s="27"/>
      <c r="D42" s="27"/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6"/>
      <c r="S42" s="27"/>
      <c r="T42" s="27"/>
      <c r="U42" s="27"/>
      <c r="V42" s="27"/>
      <c r="W42" s="26"/>
      <c r="X42" s="27"/>
      <c r="Y42" s="27"/>
      <c r="Z42" s="27"/>
      <c r="AA42" s="27"/>
      <c r="AB42" s="27"/>
      <c r="AC42" s="27"/>
      <c r="AD42" s="27"/>
      <c r="AE42" s="27"/>
      <c r="AF42" s="26"/>
      <c r="AG42" s="27"/>
      <c r="AH42" s="27"/>
      <c r="AI42" s="27"/>
      <c r="AJ42" s="27"/>
      <c r="AK42" s="27"/>
      <c r="AL42" s="27"/>
      <c r="AM42" s="27"/>
      <c r="AN42" s="26"/>
      <c r="AO42" s="27"/>
      <c r="AP42" s="27"/>
      <c r="AQ42" s="27"/>
      <c r="AR42" s="26"/>
      <c r="AS42" s="27"/>
      <c r="AT42" s="27"/>
      <c r="AU42" s="27"/>
      <c r="AV42" s="26"/>
    </row>
    <row r="43" spans="1:48" ht="15.75" customHeight="1" x14ac:dyDescent="0.3">
      <c r="A43" s="26"/>
      <c r="B43" s="27"/>
      <c r="C43" s="27"/>
      <c r="D43" s="27"/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6"/>
      <c r="S43" s="27"/>
      <c r="T43" s="27"/>
      <c r="U43" s="27"/>
      <c r="V43" s="27"/>
      <c r="W43" s="26"/>
      <c r="X43" s="27"/>
      <c r="Y43" s="27"/>
      <c r="Z43" s="27"/>
      <c r="AA43" s="27"/>
      <c r="AB43" s="27"/>
      <c r="AC43" s="27"/>
      <c r="AD43" s="27"/>
      <c r="AE43" s="27"/>
      <c r="AF43" s="26"/>
      <c r="AG43" s="27"/>
      <c r="AH43" s="27"/>
      <c r="AI43" s="27"/>
      <c r="AJ43" s="27"/>
      <c r="AK43" s="27"/>
      <c r="AL43" s="27"/>
      <c r="AM43" s="27"/>
      <c r="AN43" s="26"/>
      <c r="AO43" s="27"/>
      <c r="AP43" s="27"/>
      <c r="AQ43" s="27"/>
      <c r="AR43" s="26"/>
      <c r="AS43" s="27"/>
      <c r="AT43" s="27"/>
      <c r="AU43" s="27"/>
      <c r="AV43" s="26"/>
    </row>
    <row r="44" spans="1:48" ht="15.75" customHeight="1" x14ac:dyDescent="0.3">
      <c r="A44" s="26"/>
      <c r="B44" s="27"/>
      <c r="C44" s="27"/>
      <c r="D44" s="27"/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6"/>
      <c r="S44" s="27"/>
      <c r="T44" s="27"/>
      <c r="U44" s="27"/>
      <c r="V44" s="27"/>
      <c r="W44" s="26"/>
      <c r="X44" s="27"/>
      <c r="Y44" s="27"/>
      <c r="Z44" s="27"/>
      <c r="AA44" s="27"/>
      <c r="AB44" s="27"/>
      <c r="AC44" s="27"/>
      <c r="AD44" s="27"/>
      <c r="AE44" s="27"/>
      <c r="AF44" s="26"/>
      <c r="AG44" s="27"/>
      <c r="AH44" s="27"/>
      <c r="AI44" s="27"/>
      <c r="AJ44" s="27"/>
      <c r="AK44" s="27"/>
      <c r="AL44" s="27"/>
      <c r="AM44" s="27"/>
      <c r="AN44" s="26"/>
      <c r="AO44" s="27"/>
      <c r="AP44" s="27"/>
      <c r="AQ44" s="27"/>
      <c r="AR44" s="26"/>
      <c r="AS44" s="27"/>
      <c r="AT44" s="27"/>
      <c r="AU44" s="27"/>
      <c r="AV44" s="26"/>
    </row>
    <row r="45" spans="1:48" ht="15.75" customHeight="1" x14ac:dyDescent="0.3">
      <c r="A45" s="26"/>
      <c r="B45" s="27"/>
      <c r="C45" s="27"/>
      <c r="D45" s="27"/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6"/>
      <c r="S45" s="27"/>
      <c r="T45" s="27"/>
      <c r="U45" s="27"/>
      <c r="V45" s="27"/>
      <c r="W45" s="26"/>
      <c r="X45" s="27"/>
      <c r="Y45" s="27"/>
      <c r="Z45" s="27"/>
      <c r="AA45" s="27"/>
      <c r="AB45" s="27"/>
      <c r="AC45" s="27"/>
      <c r="AD45" s="27"/>
      <c r="AE45" s="27"/>
      <c r="AF45" s="26"/>
      <c r="AG45" s="27"/>
      <c r="AH45" s="27"/>
      <c r="AI45" s="27"/>
      <c r="AJ45" s="27"/>
      <c r="AK45" s="27"/>
      <c r="AL45" s="27"/>
      <c r="AM45" s="27"/>
      <c r="AN45" s="26"/>
      <c r="AO45" s="27"/>
      <c r="AP45" s="27"/>
      <c r="AQ45" s="27"/>
      <c r="AR45" s="26"/>
      <c r="AS45" s="27"/>
      <c r="AT45" s="27"/>
      <c r="AU45" s="27"/>
      <c r="AV45" s="26"/>
    </row>
    <row r="46" spans="1:48" ht="15.75" customHeight="1" x14ac:dyDescent="0.3">
      <c r="A46" s="26"/>
      <c r="B46" s="27"/>
      <c r="C46" s="27"/>
      <c r="D46" s="27"/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6"/>
      <c r="S46" s="27"/>
      <c r="T46" s="27"/>
      <c r="U46" s="27"/>
      <c r="V46" s="27"/>
      <c r="W46" s="26"/>
      <c r="X46" s="27"/>
      <c r="Y46" s="27"/>
      <c r="Z46" s="27"/>
      <c r="AA46" s="27"/>
      <c r="AB46" s="27"/>
      <c r="AC46" s="27"/>
      <c r="AD46" s="27"/>
      <c r="AE46" s="27"/>
      <c r="AF46" s="26"/>
      <c r="AG46" s="27"/>
      <c r="AH46" s="27"/>
      <c r="AI46" s="27"/>
      <c r="AJ46" s="27"/>
      <c r="AK46" s="27"/>
      <c r="AL46" s="27"/>
      <c r="AM46" s="27"/>
      <c r="AN46" s="26"/>
      <c r="AO46" s="27"/>
      <c r="AP46" s="27"/>
      <c r="AQ46" s="27"/>
      <c r="AR46" s="26"/>
      <c r="AS46" s="27"/>
      <c r="AT46" s="27"/>
      <c r="AU46" s="27"/>
      <c r="AV46" s="26"/>
    </row>
    <row r="47" spans="1:48" ht="15.75" customHeight="1" x14ac:dyDescent="0.3">
      <c r="A47" s="26"/>
      <c r="B47" s="27"/>
      <c r="C47" s="27"/>
      <c r="D47" s="27"/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6"/>
      <c r="S47" s="27"/>
      <c r="T47" s="27"/>
      <c r="U47" s="27"/>
      <c r="V47" s="27"/>
      <c r="W47" s="26"/>
      <c r="X47" s="27"/>
      <c r="Y47" s="27"/>
      <c r="Z47" s="27"/>
      <c r="AA47" s="27"/>
      <c r="AB47" s="27"/>
      <c r="AC47" s="27"/>
      <c r="AD47" s="27"/>
      <c r="AE47" s="27"/>
      <c r="AF47" s="26"/>
      <c r="AG47" s="27"/>
      <c r="AH47" s="27"/>
      <c r="AI47" s="27"/>
      <c r="AJ47" s="27"/>
      <c r="AK47" s="27"/>
      <c r="AL47" s="27"/>
      <c r="AM47" s="27"/>
      <c r="AN47" s="26"/>
      <c r="AO47" s="27"/>
      <c r="AP47" s="27"/>
      <c r="AQ47" s="27"/>
      <c r="AR47" s="26"/>
      <c r="AS47" s="27"/>
      <c r="AT47" s="27"/>
      <c r="AU47" s="27"/>
      <c r="AV47" s="26"/>
    </row>
    <row r="48" spans="1:48" ht="15.75" customHeight="1" x14ac:dyDescent="0.3">
      <c r="A48" s="26"/>
      <c r="B48" s="27"/>
      <c r="C48" s="27"/>
      <c r="D48" s="27"/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6"/>
      <c r="S48" s="27"/>
      <c r="T48" s="27"/>
      <c r="U48" s="27"/>
      <c r="V48" s="27"/>
      <c r="W48" s="26"/>
      <c r="X48" s="27"/>
      <c r="Y48" s="27"/>
      <c r="Z48" s="27"/>
      <c r="AA48" s="27"/>
      <c r="AB48" s="27"/>
      <c r="AC48" s="27"/>
      <c r="AD48" s="27"/>
      <c r="AE48" s="27"/>
      <c r="AF48" s="26"/>
      <c r="AG48" s="27"/>
      <c r="AH48" s="27"/>
      <c r="AI48" s="27"/>
      <c r="AJ48" s="27"/>
      <c r="AK48" s="27"/>
      <c r="AL48" s="27"/>
      <c r="AM48" s="27"/>
      <c r="AN48" s="26"/>
      <c r="AO48" s="27"/>
      <c r="AP48" s="27"/>
      <c r="AQ48" s="27"/>
      <c r="AR48" s="26"/>
      <c r="AS48" s="27"/>
      <c r="AT48" s="27"/>
      <c r="AU48" s="27"/>
      <c r="AV48" s="26"/>
    </row>
    <row r="49" spans="1:48" ht="15.75" customHeight="1" x14ac:dyDescent="0.3">
      <c r="A49" s="33"/>
      <c r="B49" s="34"/>
      <c r="C49" s="34"/>
      <c r="D49" s="34"/>
      <c r="E49" s="33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3"/>
      <c r="S49" s="34"/>
      <c r="T49" s="34"/>
      <c r="U49" s="34"/>
      <c r="V49" s="34"/>
      <c r="W49" s="33"/>
      <c r="X49" s="34"/>
      <c r="Y49" s="34"/>
      <c r="Z49" s="34"/>
      <c r="AA49" s="34"/>
      <c r="AB49" s="34"/>
      <c r="AC49" s="34"/>
      <c r="AD49" s="34"/>
      <c r="AE49" s="34"/>
      <c r="AF49" s="33"/>
      <c r="AG49" s="34"/>
      <c r="AH49" s="34"/>
      <c r="AI49" s="34"/>
      <c r="AJ49" s="34"/>
      <c r="AK49" s="34"/>
      <c r="AL49" s="34"/>
      <c r="AM49" s="34"/>
      <c r="AN49" s="33"/>
      <c r="AO49" s="34"/>
      <c r="AP49" s="34"/>
      <c r="AQ49" s="34"/>
      <c r="AR49" s="33"/>
      <c r="AS49" s="34"/>
      <c r="AT49" s="34"/>
      <c r="AU49" s="34"/>
      <c r="AV49" s="33"/>
    </row>
    <row r="50" spans="1:48" ht="15.75" customHeight="1" x14ac:dyDescent="0.3">
      <c r="A50" s="33"/>
      <c r="B50" s="34"/>
      <c r="C50" s="34"/>
      <c r="D50" s="34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3"/>
      <c r="S50" s="34"/>
      <c r="T50" s="34"/>
      <c r="U50" s="34"/>
      <c r="V50" s="34"/>
      <c r="W50" s="33"/>
      <c r="X50" s="34"/>
      <c r="Y50" s="34"/>
      <c r="Z50" s="34"/>
      <c r="AA50" s="34"/>
      <c r="AB50" s="34"/>
      <c r="AC50" s="34"/>
      <c r="AD50" s="34"/>
      <c r="AE50" s="34"/>
      <c r="AF50" s="33"/>
      <c r="AG50" s="34"/>
      <c r="AH50" s="34"/>
      <c r="AI50" s="34"/>
      <c r="AJ50" s="34"/>
      <c r="AK50" s="34"/>
      <c r="AL50" s="34"/>
      <c r="AM50" s="34"/>
      <c r="AN50" s="33"/>
      <c r="AO50" s="34"/>
      <c r="AP50" s="34"/>
      <c r="AQ50" s="34"/>
      <c r="AR50" s="33"/>
      <c r="AS50" s="34"/>
      <c r="AT50" s="34"/>
      <c r="AU50" s="34"/>
      <c r="AV50" s="33"/>
    </row>
    <row r="51" spans="1:48" ht="15.75" customHeight="1" x14ac:dyDescent="0.3">
      <c r="A51" s="33"/>
      <c r="B51" s="34"/>
      <c r="C51" s="34"/>
      <c r="D51" s="34"/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3"/>
      <c r="S51" s="34"/>
      <c r="T51" s="34"/>
      <c r="U51" s="34"/>
      <c r="V51" s="34"/>
      <c r="W51" s="33"/>
      <c r="X51" s="34"/>
      <c r="Y51" s="34"/>
      <c r="Z51" s="34"/>
      <c r="AA51" s="34"/>
      <c r="AB51" s="34"/>
      <c r="AC51" s="34"/>
      <c r="AD51" s="34"/>
      <c r="AE51" s="34"/>
      <c r="AF51" s="33"/>
      <c r="AG51" s="34"/>
      <c r="AH51" s="34"/>
      <c r="AI51" s="34"/>
      <c r="AJ51" s="34"/>
      <c r="AK51" s="34"/>
      <c r="AL51" s="34"/>
      <c r="AM51" s="34"/>
      <c r="AN51" s="33"/>
      <c r="AO51" s="34"/>
      <c r="AP51" s="34"/>
      <c r="AQ51" s="34"/>
      <c r="AR51" s="33"/>
      <c r="AS51" s="34"/>
      <c r="AT51" s="34"/>
      <c r="AU51" s="34"/>
      <c r="AV51" s="33"/>
    </row>
    <row r="52" spans="1:48" ht="15.75" customHeight="1" x14ac:dyDescent="0.3">
      <c r="A52" s="33"/>
      <c r="B52" s="34"/>
      <c r="C52" s="34"/>
      <c r="D52" s="34"/>
      <c r="E52" s="33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3"/>
      <c r="S52" s="34"/>
      <c r="T52" s="34"/>
      <c r="U52" s="34"/>
      <c r="V52" s="34"/>
      <c r="W52" s="33"/>
      <c r="X52" s="34"/>
      <c r="Y52" s="34"/>
      <c r="Z52" s="34"/>
      <c r="AA52" s="34"/>
      <c r="AB52" s="34"/>
      <c r="AC52" s="34"/>
      <c r="AD52" s="34"/>
      <c r="AE52" s="34"/>
      <c r="AF52" s="33"/>
      <c r="AG52" s="34"/>
      <c r="AH52" s="34"/>
      <c r="AI52" s="34"/>
      <c r="AJ52" s="34"/>
      <c r="AK52" s="34"/>
      <c r="AL52" s="34"/>
      <c r="AM52" s="34"/>
      <c r="AN52" s="33"/>
      <c r="AO52" s="34"/>
      <c r="AP52" s="34"/>
      <c r="AQ52" s="34"/>
      <c r="AR52" s="33"/>
      <c r="AS52" s="34"/>
      <c r="AT52" s="34"/>
      <c r="AU52" s="34"/>
      <c r="AV52" s="33"/>
    </row>
    <row r="53" spans="1:48" ht="15.75" customHeight="1" x14ac:dyDescent="0.3">
      <c r="A53" s="33"/>
      <c r="B53" s="34"/>
      <c r="C53" s="34"/>
      <c r="D53" s="34"/>
      <c r="E53" s="33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3"/>
      <c r="S53" s="34"/>
      <c r="T53" s="34"/>
      <c r="U53" s="34"/>
      <c r="V53" s="34"/>
      <c r="W53" s="33"/>
      <c r="X53" s="34"/>
      <c r="Y53" s="34"/>
      <c r="Z53" s="34"/>
      <c r="AA53" s="34"/>
      <c r="AB53" s="34"/>
      <c r="AC53" s="34"/>
      <c r="AD53" s="34"/>
      <c r="AE53" s="34"/>
      <c r="AF53" s="33"/>
      <c r="AG53" s="34"/>
      <c r="AH53" s="34"/>
      <c r="AI53" s="34"/>
      <c r="AJ53" s="34"/>
      <c r="AK53" s="34"/>
      <c r="AL53" s="34"/>
      <c r="AM53" s="34"/>
      <c r="AN53" s="33"/>
      <c r="AO53" s="34"/>
      <c r="AP53" s="34"/>
      <c r="AQ53" s="34"/>
      <c r="AR53" s="33"/>
      <c r="AS53" s="34"/>
      <c r="AT53" s="34"/>
      <c r="AU53" s="34"/>
      <c r="AV53" s="33"/>
    </row>
    <row r="54" spans="1:48" ht="15.75" customHeight="1" x14ac:dyDescent="0.3">
      <c r="A54" s="33"/>
      <c r="B54" s="34"/>
      <c r="C54" s="34"/>
      <c r="D54" s="34"/>
      <c r="E54" s="33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3"/>
      <c r="S54" s="34"/>
      <c r="T54" s="34"/>
      <c r="U54" s="34"/>
      <c r="V54" s="34"/>
      <c r="W54" s="33"/>
      <c r="X54" s="34"/>
      <c r="Y54" s="34"/>
      <c r="Z54" s="34"/>
      <c r="AA54" s="34"/>
      <c r="AB54" s="34"/>
      <c r="AC54" s="34"/>
      <c r="AD54" s="34"/>
      <c r="AE54" s="34"/>
      <c r="AF54" s="33"/>
      <c r="AG54" s="34"/>
      <c r="AH54" s="34"/>
      <c r="AI54" s="34"/>
      <c r="AJ54" s="34"/>
      <c r="AK54" s="34"/>
      <c r="AL54" s="34"/>
      <c r="AM54" s="34"/>
      <c r="AN54" s="33"/>
      <c r="AO54" s="34"/>
      <c r="AP54" s="34"/>
      <c r="AQ54" s="34"/>
      <c r="AR54" s="33"/>
      <c r="AS54" s="34"/>
      <c r="AT54" s="34"/>
      <c r="AU54" s="34"/>
      <c r="AV54" s="33"/>
    </row>
    <row r="55" spans="1:48" ht="15.75" customHeight="1" x14ac:dyDescent="0.3">
      <c r="A55" s="33"/>
      <c r="B55" s="34"/>
      <c r="C55" s="34"/>
      <c r="D55" s="34"/>
      <c r="E55" s="33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3"/>
      <c r="S55" s="34"/>
      <c r="T55" s="34"/>
      <c r="U55" s="34"/>
      <c r="V55" s="34"/>
      <c r="W55" s="33"/>
      <c r="X55" s="34"/>
      <c r="Y55" s="34"/>
      <c r="Z55" s="34"/>
      <c r="AA55" s="34"/>
      <c r="AB55" s="34"/>
      <c r="AC55" s="34"/>
      <c r="AD55" s="34"/>
      <c r="AE55" s="34"/>
      <c r="AF55" s="33"/>
      <c r="AG55" s="34"/>
      <c r="AH55" s="34"/>
      <c r="AI55" s="34"/>
      <c r="AJ55" s="34"/>
      <c r="AK55" s="34"/>
      <c r="AL55" s="34"/>
      <c r="AM55" s="34"/>
      <c r="AN55" s="33"/>
      <c r="AO55" s="34"/>
      <c r="AP55" s="34"/>
      <c r="AQ55" s="34"/>
      <c r="AR55" s="33"/>
      <c r="AS55" s="34"/>
      <c r="AT55" s="34"/>
      <c r="AU55" s="34"/>
      <c r="AV55" s="33"/>
    </row>
  </sheetData>
  <dataValidations count="1">
    <dataValidation type="list" allowBlank="1" sqref="T3:T12" xr:uid="{00000000-0002-0000-0200-000000000000}">
      <formula1>#REF!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10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13" sqref="L13"/>
    </sheetView>
  </sheetViews>
  <sheetFormatPr defaultColWidth="14.44140625" defaultRowHeight="15" customHeight="1" x14ac:dyDescent="0.3"/>
  <cols>
    <col min="1" max="1" width="2.88671875" customWidth="1"/>
    <col min="2" max="4" width="32.44140625" customWidth="1"/>
    <col min="5" max="5" width="2.88671875" customWidth="1"/>
    <col min="6" max="9" width="12" customWidth="1"/>
    <col min="10" max="10" width="2.88671875" customWidth="1"/>
    <col min="11" max="20" width="12" customWidth="1"/>
    <col min="21" max="21" width="2.88671875" customWidth="1"/>
    <col min="22" max="28" width="12" customWidth="1"/>
    <col min="29" max="29" width="2.88671875" customWidth="1"/>
    <col min="30" max="32" width="12" customWidth="1"/>
    <col min="33" max="33" width="2.88671875" customWidth="1"/>
    <col min="34" max="36" width="12" customWidth="1"/>
  </cols>
  <sheetData>
    <row r="1" spans="1:36" ht="13.8" x14ac:dyDescent="0.3">
      <c r="A1" s="26"/>
      <c r="B1" s="27"/>
      <c r="C1" s="27"/>
      <c r="D1" s="27"/>
      <c r="E1" s="26"/>
      <c r="F1" s="27"/>
      <c r="G1" s="27"/>
      <c r="H1" s="27"/>
      <c r="I1" s="27"/>
      <c r="J1" s="26"/>
      <c r="K1" s="27"/>
      <c r="L1" s="27"/>
      <c r="M1" s="27"/>
      <c r="N1" s="27"/>
      <c r="O1" s="27"/>
      <c r="P1" s="27"/>
      <c r="Q1" s="27"/>
      <c r="R1" s="27"/>
      <c r="S1" s="27"/>
      <c r="T1" s="27"/>
      <c r="U1" s="26"/>
      <c r="V1" s="27"/>
      <c r="W1" s="27"/>
      <c r="X1" s="27"/>
      <c r="Y1" s="27"/>
      <c r="Z1" s="27"/>
      <c r="AA1" s="27"/>
      <c r="AB1" s="27"/>
      <c r="AC1" s="26"/>
      <c r="AD1" s="27"/>
      <c r="AE1" s="27"/>
      <c r="AF1" s="27"/>
      <c r="AG1" s="26"/>
      <c r="AH1" s="28"/>
      <c r="AI1" s="28"/>
      <c r="AJ1" s="28"/>
    </row>
    <row r="2" spans="1:36" ht="51.75" customHeight="1" x14ac:dyDescent="0.3">
      <c r="A2" s="1"/>
      <c r="B2" s="2" t="s">
        <v>0</v>
      </c>
      <c r="C2" s="2" t="s">
        <v>1</v>
      </c>
      <c r="D2" s="2" t="s">
        <v>2</v>
      </c>
      <c r="E2" s="1"/>
      <c r="F2" s="3" t="s">
        <v>3</v>
      </c>
      <c r="G2" s="3" t="s">
        <v>4</v>
      </c>
      <c r="H2" s="3" t="s">
        <v>5</v>
      </c>
      <c r="I2" s="3" t="s">
        <v>6</v>
      </c>
      <c r="J2" s="1"/>
      <c r="K2" s="39" t="s">
        <v>68</v>
      </c>
      <c r="L2" s="41" t="s">
        <v>69</v>
      </c>
      <c r="M2" s="39" t="s">
        <v>70</v>
      </c>
      <c r="N2" s="4" t="s">
        <v>7</v>
      </c>
      <c r="O2" s="3" t="s">
        <v>8</v>
      </c>
      <c r="P2" s="4" t="s">
        <v>9</v>
      </c>
      <c r="Q2" s="3" t="s">
        <v>10</v>
      </c>
      <c r="R2" s="4" t="s">
        <v>11</v>
      </c>
      <c r="S2" s="4" t="s">
        <v>12</v>
      </c>
      <c r="T2" s="4" t="s">
        <v>13</v>
      </c>
      <c r="U2" s="1"/>
      <c r="V2" s="2" t="s">
        <v>14</v>
      </c>
      <c r="W2" s="2" t="s">
        <v>15</v>
      </c>
      <c r="X2" s="2" t="s">
        <v>16</v>
      </c>
      <c r="Y2" s="2" t="s">
        <v>17</v>
      </c>
      <c r="Z2" s="2" t="s">
        <v>18</v>
      </c>
      <c r="AA2" s="2" t="s">
        <v>19</v>
      </c>
      <c r="AB2" s="2" t="s">
        <v>20</v>
      </c>
      <c r="AC2" s="1"/>
      <c r="AD2" s="6" t="s">
        <v>21</v>
      </c>
      <c r="AE2" s="7" t="s">
        <v>22</v>
      </c>
      <c r="AF2" s="8" t="s">
        <v>23</v>
      </c>
      <c r="AG2" s="1"/>
      <c r="AH2" s="6" t="s">
        <v>24</v>
      </c>
      <c r="AI2" s="8" t="s">
        <v>66</v>
      </c>
      <c r="AJ2" s="8" t="s">
        <v>67</v>
      </c>
    </row>
    <row r="3" spans="1:36" ht="30.75" customHeight="1" x14ac:dyDescent="0.3">
      <c r="A3" s="10"/>
      <c r="B3" s="11"/>
      <c r="C3" s="12"/>
      <c r="D3" s="12"/>
      <c r="E3" s="10"/>
      <c r="F3" s="13" t="s">
        <v>54</v>
      </c>
      <c r="G3" s="14" t="s">
        <v>27</v>
      </c>
      <c r="H3" s="15"/>
      <c r="I3" s="16">
        <f>IFERROR(V3*AD3,"-")</f>
        <v>0</v>
      </c>
      <c r="J3" s="10"/>
      <c r="K3" s="17"/>
      <c r="L3" s="12"/>
      <c r="M3" s="17"/>
      <c r="N3" s="17">
        <f t="shared" ref="N3:N12" si="0">IFERROR((H3*I3),"-")</f>
        <v>0</v>
      </c>
      <c r="O3" s="18"/>
      <c r="P3" s="17">
        <f t="shared" ref="P3:P12" si="1">IFERROR(N3*(1-O3),"-")</f>
        <v>0</v>
      </c>
      <c r="Q3" s="19"/>
      <c r="R3" s="17">
        <f t="shared" ref="R3:R12" si="2">IFERROR(P3*(1+Q3),"-")</f>
        <v>0</v>
      </c>
      <c r="S3" s="17">
        <f t="shared" ref="S3:S13" si="3">IFERROR(R3*1.22,"-")</f>
        <v>0</v>
      </c>
      <c r="T3" s="18" t="str">
        <f t="shared" ref="T3:T12" si="4">IFERROR(S3/$S$13,"-")</f>
        <v>-</v>
      </c>
      <c r="U3" s="10"/>
      <c r="V3" s="20"/>
      <c r="W3" s="16"/>
      <c r="X3" s="13" t="s">
        <v>29</v>
      </c>
      <c r="Y3" s="17" t="str">
        <f t="shared" ref="Y3:Y13" si="5">IFERROR(S3/V3*1000,"-")</f>
        <v>-</v>
      </c>
      <c r="Z3" s="17" t="str">
        <f t="shared" ref="Z3:Z13" si="6">IFERROR(S3/X3*1000,"-")</f>
        <v>-</v>
      </c>
      <c r="AA3" s="16"/>
      <c r="AB3" s="18" t="str">
        <f t="shared" ref="AB3:AB12" si="7">IFERROR(X3/AA3,"-")</f>
        <v>-</v>
      </c>
      <c r="AC3" s="10"/>
      <c r="AD3" s="19"/>
      <c r="AE3" s="13">
        <f t="shared" ref="AE3:AE12" si="8">IFERROR(ROUNDDOWN(V3*AD3,0),"-")</f>
        <v>0</v>
      </c>
      <c r="AF3" s="17" t="str">
        <f t="shared" ref="AF3:AF13" si="9">IFERROR(S3/AE3,"-")</f>
        <v>-</v>
      </c>
      <c r="AG3" s="10"/>
      <c r="AH3" s="19"/>
      <c r="AI3" s="13">
        <f>IF(G3="CPI",#REF!*AH3,IFERROR(ROUNDDOWN(AE3*AH3,0),"-"))</f>
        <v>0</v>
      </c>
      <c r="AJ3" s="17" t="str">
        <f t="shared" ref="AJ3:AJ13" si="10">IFERROR(S3/AI3,"-")</f>
        <v>-</v>
      </c>
    </row>
    <row r="4" spans="1:36" ht="30.75" customHeight="1" x14ac:dyDescent="0.3">
      <c r="A4" s="10"/>
      <c r="B4" s="11"/>
      <c r="C4" s="12"/>
      <c r="D4" s="12"/>
      <c r="E4" s="10"/>
      <c r="F4" s="13" t="s">
        <v>54</v>
      </c>
      <c r="G4" s="14" t="s">
        <v>27</v>
      </c>
      <c r="H4" s="15"/>
      <c r="I4" s="16">
        <f t="shared" ref="I4:I12" si="11">IFERROR(V4*AD4,"-")</f>
        <v>0</v>
      </c>
      <c r="J4" s="10"/>
      <c r="K4" s="17"/>
      <c r="L4" s="12"/>
      <c r="M4" s="17"/>
      <c r="N4" s="17">
        <f t="shared" si="0"/>
        <v>0</v>
      </c>
      <c r="O4" s="18"/>
      <c r="P4" s="17">
        <f t="shared" si="1"/>
        <v>0</v>
      </c>
      <c r="Q4" s="19"/>
      <c r="R4" s="17">
        <f t="shared" si="2"/>
        <v>0</v>
      </c>
      <c r="S4" s="17">
        <f t="shared" si="3"/>
        <v>0</v>
      </c>
      <c r="T4" s="18" t="str">
        <f t="shared" si="4"/>
        <v>-</v>
      </c>
      <c r="U4" s="10"/>
      <c r="V4" s="20"/>
      <c r="W4" s="16"/>
      <c r="X4" s="13" t="s">
        <v>29</v>
      </c>
      <c r="Y4" s="17" t="str">
        <f t="shared" si="5"/>
        <v>-</v>
      </c>
      <c r="Z4" s="17" t="str">
        <f t="shared" si="6"/>
        <v>-</v>
      </c>
      <c r="AA4" s="16"/>
      <c r="AB4" s="18" t="str">
        <f t="shared" si="7"/>
        <v>-</v>
      </c>
      <c r="AC4" s="10"/>
      <c r="AD4" s="19"/>
      <c r="AE4" s="13">
        <f t="shared" si="8"/>
        <v>0</v>
      </c>
      <c r="AF4" s="17" t="str">
        <f t="shared" si="9"/>
        <v>-</v>
      </c>
      <c r="AG4" s="10"/>
      <c r="AH4" s="19"/>
      <c r="AI4" s="13">
        <f>IF(G4="CPI",#REF!*AH4,IFERROR(ROUNDDOWN(AE4*AH4,0),"-"))</f>
        <v>0</v>
      </c>
      <c r="AJ4" s="17" t="str">
        <f t="shared" si="10"/>
        <v>-</v>
      </c>
    </row>
    <row r="5" spans="1:36" ht="30.75" customHeight="1" x14ac:dyDescent="0.3">
      <c r="A5" s="10"/>
      <c r="B5" s="11"/>
      <c r="C5" s="12"/>
      <c r="D5" s="12"/>
      <c r="E5" s="10"/>
      <c r="F5" s="13" t="s">
        <v>54</v>
      </c>
      <c r="G5" s="14" t="s">
        <v>27</v>
      </c>
      <c r="H5" s="15"/>
      <c r="I5" s="16">
        <f t="shared" ref="I5:I9" si="12">IFERROR(V5*AD5,"-")</f>
        <v>0</v>
      </c>
      <c r="J5" s="10"/>
      <c r="K5" s="17"/>
      <c r="L5" s="12"/>
      <c r="M5" s="17"/>
      <c r="N5" s="17">
        <f t="shared" ref="N5:N9" si="13">IFERROR((H5*I5),"-")</f>
        <v>0</v>
      </c>
      <c r="O5" s="18"/>
      <c r="P5" s="17">
        <f t="shared" ref="P5:P9" si="14">IFERROR(N5*(1-O5),"-")</f>
        <v>0</v>
      </c>
      <c r="Q5" s="19"/>
      <c r="R5" s="17">
        <f t="shared" ref="R5:R9" si="15">IFERROR(P5*(1+Q5),"-")</f>
        <v>0</v>
      </c>
      <c r="S5" s="17">
        <f t="shared" si="3"/>
        <v>0</v>
      </c>
      <c r="T5" s="18" t="str">
        <f t="shared" ref="T5:T9" si="16">IFERROR(S5/$S$13,"-")</f>
        <v>-</v>
      </c>
      <c r="U5" s="10"/>
      <c r="V5" s="20"/>
      <c r="W5" s="16"/>
      <c r="X5" s="13" t="s">
        <v>29</v>
      </c>
      <c r="Y5" s="17" t="str">
        <f t="shared" ref="Y5:Y9" si="17">IFERROR(S5/V5*1000,"-")</f>
        <v>-</v>
      </c>
      <c r="Z5" s="17" t="str">
        <f t="shared" ref="Z5:Z9" si="18">IFERROR(S5/X5*1000,"-")</f>
        <v>-</v>
      </c>
      <c r="AA5" s="16"/>
      <c r="AB5" s="18" t="str">
        <f t="shared" ref="AB5:AB9" si="19">IFERROR(X5/AA5,"-")</f>
        <v>-</v>
      </c>
      <c r="AC5" s="10"/>
      <c r="AD5" s="19"/>
      <c r="AE5" s="13">
        <f t="shared" ref="AE5:AE9" si="20">IFERROR(ROUNDDOWN(V5*AD5,0),"-")</f>
        <v>0</v>
      </c>
      <c r="AF5" s="17" t="str">
        <f t="shared" ref="AF5:AF9" si="21">IFERROR(S5/AE5,"-")</f>
        <v>-</v>
      </c>
      <c r="AG5" s="10"/>
      <c r="AH5" s="19"/>
      <c r="AI5" s="13">
        <f>IF(G5="CPI",#REF!*AH5,IFERROR(ROUNDDOWN(AE5*AH5,0),"-"))</f>
        <v>0</v>
      </c>
      <c r="AJ5" s="17" t="str">
        <f t="shared" ref="AJ5:AJ9" si="22">IFERROR(S5/AI5,"-")</f>
        <v>-</v>
      </c>
    </row>
    <row r="6" spans="1:36" ht="30.75" customHeight="1" x14ac:dyDescent="0.3">
      <c r="A6" s="10"/>
      <c r="B6" s="11"/>
      <c r="C6" s="12"/>
      <c r="D6" s="12"/>
      <c r="E6" s="10"/>
      <c r="F6" s="13" t="s">
        <v>54</v>
      </c>
      <c r="G6" s="14" t="s">
        <v>27</v>
      </c>
      <c r="H6" s="15"/>
      <c r="I6" s="16">
        <f t="shared" si="12"/>
        <v>0</v>
      </c>
      <c r="J6" s="10"/>
      <c r="K6" s="17"/>
      <c r="L6" s="12"/>
      <c r="M6" s="17"/>
      <c r="N6" s="17">
        <f t="shared" si="13"/>
        <v>0</v>
      </c>
      <c r="O6" s="18"/>
      <c r="P6" s="17">
        <f t="shared" si="14"/>
        <v>0</v>
      </c>
      <c r="Q6" s="19"/>
      <c r="R6" s="17">
        <f t="shared" si="15"/>
        <v>0</v>
      </c>
      <c r="S6" s="17">
        <f t="shared" si="3"/>
        <v>0</v>
      </c>
      <c r="T6" s="18" t="str">
        <f t="shared" si="16"/>
        <v>-</v>
      </c>
      <c r="U6" s="10"/>
      <c r="V6" s="20"/>
      <c r="W6" s="16"/>
      <c r="X6" s="13" t="s">
        <v>29</v>
      </c>
      <c r="Y6" s="17" t="str">
        <f t="shared" si="17"/>
        <v>-</v>
      </c>
      <c r="Z6" s="17" t="str">
        <f t="shared" si="18"/>
        <v>-</v>
      </c>
      <c r="AA6" s="16"/>
      <c r="AB6" s="18" t="str">
        <f t="shared" si="19"/>
        <v>-</v>
      </c>
      <c r="AC6" s="10"/>
      <c r="AD6" s="19"/>
      <c r="AE6" s="13">
        <f t="shared" si="20"/>
        <v>0</v>
      </c>
      <c r="AF6" s="17" t="str">
        <f t="shared" si="21"/>
        <v>-</v>
      </c>
      <c r="AG6" s="10"/>
      <c r="AH6" s="19"/>
      <c r="AI6" s="13">
        <f>IF(G6="CPI",#REF!*AH6,IFERROR(ROUNDDOWN(AE6*AH6,0),"-"))</f>
        <v>0</v>
      </c>
      <c r="AJ6" s="17" t="str">
        <f t="shared" si="22"/>
        <v>-</v>
      </c>
    </row>
    <row r="7" spans="1:36" ht="30.75" customHeight="1" x14ac:dyDescent="0.3">
      <c r="A7" s="10"/>
      <c r="B7" s="11"/>
      <c r="C7" s="12"/>
      <c r="D7" s="12"/>
      <c r="E7" s="10"/>
      <c r="F7" s="13" t="s">
        <v>54</v>
      </c>
      <c r="G7" s="14" t="s">
        <v>27</v>
      </c>
      <c r="H7" s="15"/>
      <c r="I7" s="16">
        <f t="shared" si="12"/>
        <v>0</v>
      </c>
      <c r="J7" s="10"/>
      <c r="K7" s="17"/>
      <c r="L7" s="12"/>
      <c r="M7" s="17"/>
      <c r="N7" s="17">
        <f t="shared" si="13"/>
        <v>0</v>
      </c>
      <c r="O7" s="18"/>
      <c r="P7" s="17">
        <f t="shared" si="14"/>
        <v>0</v>
      </c>
      <c r="Q7" s="19"/>
      <c r="R7" s="17">
        <f t="shared" si="15"/>
        <v>0</v>
      </c>
      <c r="S7" s="17">
        <f t="shared" si="3"/>
        <v>0</v>
      </c>
      <c r="T7" s="18" t="str">
        <f t="shared" si="16"/>
        <v>-</v>
      </c>
      <c r="U7" s="10"/>
      <c r="V7" s="20"/>
      <c r="W7" s="16"/>
      <c r="X7" s="13" t="s">
        <v>29</v>
      </c>
      <c r="Y7" s="17" t="str">
        <f t="shared" si="17"/>
        <v>-</v>
      </c>
      <c r="Z7" s="17" t="str">
        <f t="shared" si="18"/>
        <v>-</v>
      </c>
      <c r="AA7" s="16"/>
      <c r="AB7" s="18" t="str">
        <f t="shared" si="19"/>
        <v>-</v>
      </c>
      <c r="AC7" s="10"/>
      <c r="AD7" s="19"/>
      <c r="AE7" s="13">
        <f t="shared" si="20"/>
        <v>0</v>
      </c>
      <c r="AF7" s="17" t="str">
        <f t="shared" si="21"/>
        <v>-</v>
      </c>
      <c r="AG7" s="10"/>
      <c r="AH7" s="19"/>
      <c r="AI7" s="13">
        <f>IF(G7="CPI",#REF!*AH7,IFERROR(ROUNDDOWN(AE7*AH7,0),"-"))</f>
        <v>0</v>
      </c>
      <c r="AJ7" s="17" t="str">
        <f t="shared" si="22"/>
        <v>-</v>
      </c>
    </row>
    <row r="8" spans="1:36" ht="30.75" customHeight="1" x14ac:dyDescent="0.3">
      <c r="A8" s="10"/>
      <c r="B8" s="11"/>
      <c r="C8" s="12"/>
      <c r="D8" s="12"/>
      <c r="E8" s="10"/>
      <c r="F8" s="13" t="s">
        <v>54</v>
      </c>
      <c r="G8" s="14" t="s">
        <v>27</v>
      </c>
      <c r="H8" s="15"/>
      <c r="I8" s="16">
        <f t="shared" si="12"/>
        <v>0</v>
      </c>
      <c r="J8" s="10"/>
      <c r="K8" s="17"/>
      <c r="L8" s="12"/>
      <c r="M8" s="17"/>
      <c r="N8" s="17">
        <f t="shared" si="13"/>
        <v>0</v>
      </c>
      <c r="O8" s="18"/>
      <c r="P8" s="17">
        <f t="shared" si="14"/>
        <v>0</v>
      </c>
      <c r="Q8" s="19"/>
      <c r="R8" s="17">
        <f t="shared" si="15"/>
        <v>0</v>
      </c>
      <c r="S8" s="17">
        <f t="shared" si="3"/>
        <v>0</v>
      </c>
      <c r="T8" s="18" t="str">
        <f t="shared" si="16"/>
        <v>-</v>
      </c>
      <c r="U8" s="10"/>
      <c r="V8" s="20"/>
      <c r="W8" s="16"/>
      <c r="X8" s="13" t="s">
        <v>29</v>
      </c>
      <c r="Y8" s="17" t="str">
        <f t="shared" si="17"/>
        <v>-</v>
      </c>
      <c r="Z8" s="17" t="str">
        <f t="shared" si="18"/>
        <v>-</v>
      </c>
      <c r="AA8" s="16"/>
      <c r="AB8" s="18" t="str">
        <f t="shared" si="19"/>
        <v>-</v>
      </c>
      <c r="AC8" s="10"/>
      <c r="AD8" s="19"/>
      <c r="AE8" s="13">
        <f t="shared" si="20"/>
        <v>0</v>
      </c>
      <c r="AF8" s="17" t="str">
        <f t="shared" si="21"/>
        <v>-</v>
      </c>
      <c r="AG8" s="10"/>
      <c r="AH8" s="19"/>
      <c r="AI8" s="13">
        <f>IF(G8="CPI",#REF!*AH8,IFERROR(ROUNDDOWN(AE8*AH8,0),"-"))</f>
        <v>0</v>
      </c>
      <c r="AJ8" s="17" t="str">
        <f t="shared" si="22"/>
        <v>-</v>
      </c>
    </row>
    <row r="9" spans="1:36" ht="30.75" customHeight="1" x14ac:dyDescent="0.3">
      <c r="A9" s="10"/>
      <c r="B9" s="11"/>
      <c r="C9" s="12"/>
      <c r="D9" s="38"/>
      <c r="E9" s="10"/>
      <c r="F9" s="13" t="s">
        <v>54</v>
      </c>
      <c r="G9" s="14" t="s">
        <v>27</v>
      </c>
      <c r="H9" s="15"/>
      <c r="I9" s="16">
        <f t="shared" si="12"/>
        <v>0</v>
      </c>
      <c r="J9" s="10"/>
      <c r="K9" s="17"/>
      <c r="L9" s="12"/>
      <c r="M9" s="17"/>
      <c r="N9" s="17">
        <f t="shared" si="13"/>
        <v>0</v>
      </c>
      <c r="O9" s="18"/>
      <c r="P9" s="17">
        <f t="shared" si="14"/>
        <v>0</v>
      </c>
      <c r="Q9" s="19"/>
      <c r="R9" s="17">
        <f t="shared" si="15"/>
        <v>0</v>
      </c>
      <c r="S9" s="17">
        <f t="shared" si="3"/>
        <v>0</v>
      </c>
      <c r="T9" s="18" t="str">
        <f t="shared" si="16"/>
        <v>-</v>
      </c>
      <c r="U9" s="10"/>
      <c r="V9" s="20"/>
      <c r="W9" s="16"/>
      <c r="X9" s="13" t="s">
        <v>29</v>
      </c>
      <c r="Y9" s="17" t="str">
        <f t="shared" si="17"/>
        <v>-</v>
      </c>
      <c r="Z9" s="17" t="str">
        <f t="shared" si="18"/>
        <v>-</v>
      </c>
      <c r="AA9" s="16"/>
      <c r="AB9" s="18" t="str">
        <f t="shared" si="19"/>
        <v>-</v>
      </c>
      <c r="AC9" s="10"/>
      <c r="AD9" s="19"/>
      <c r="AE9" s="13">
        <f t="shared" si="20"/>
        <v>0</v>
      </c>
      <c r="AF9" s="17" t="str">
        <f t="shared" si="21"/>
        <v>-</v>
      </c>
      <c r="AG9" s="10"/>
      <c r="AH9" s="19"/>
      <c r="AI9" s="13">
        <f>IF(G9="CPI",#REF!*AH9,IFERROR(ROUNDDOWN(AE9*AH9,0),"-"))</f>
        <v>0</v>
      </c>
      <c r="AJ9" s="17" t="str">
        <f t="shared" si="22"/>
        <v>-</v>
      </c>
    </row>
    <row r="10" spans="1:36" ht="30.75" customHeight="1" x14ac:dyDescent="0.3">
      <c r="A10" s="10"/>
      <c r="B10" s="11"/>
      <c r="C10" s="12"/>
      <c r="D10" s="12"/>
      <c r="E10" s="10"/>
      <c r="F10" s="13" t="s">
        <v>54</v>
      </c>
      <c r="G10" s="14" t="s">
        <v>27</v>
      </c>
      <c r="H10" s="15"/>
      <c r="I10" s="16">
        <f t="shared" si="11"/>
        <v>0</v>
      </c>
      <c r="J10" s="10"/>
      <c r="K10" s="17"/>
      <c r="L10" s="12"/>
      <c r="M10" s="17"/>
      <c r="N10" s="17">
        <f t="shared" si="0"/>
        <v>0</v>
      </c>
      <c r="O10" s="18"/>
      <c r="P10" s="17">
        <f t="shared" si="1"/>
        <v>0</v>
      </c>
      <c r="Q10" s="19"/>
      <c r="R10" s="17">
        <f t="shared" si="2"/>
        <v>0</v>
      </c>
      <c r="S10" s="17">
        <f t="shared" si="3"/>
        <v>0</v>
      </c>
      <c r="T10" s="18" t="str">
        <f t="shared" si="4"/>
        <v>-</v>
      </c>
      <c r="U10" s="10"/>
      <c r="V10" s="20"/>
      <c r="W10" s="16"/>
      <c r="X10" s="13" t="s">
        <v>29</v>
      </c>
      <c r="Y10" s="17" t="str">
        <f t="shared" si="5"/>
        <v>-</v>
      </c>
      <c r="Z10" s="17" t="str">
        <f t="shared" si="6"/>
        <v>-</v>
      </c>
      <c r="AA10" s="16"/>
      <c r="AB10" s="18" t="str">
        <f t="shared" si="7"/>
        <v>-</v>
      </c>
      <c r="AC10" s="10"/>
      <c r="AD10" s="19"/>
      <c r="AE10" s="13">
        <f t="shared" si="8"/>
        <v>0</v>
      </c>
      <c r="AF10" s="17" t="str">
        <f t="shared" si="9"/>
        <v>-</v>
      </c>
      <c r="AG10" s="10"/>
      <c r="AH10" s="19"/>
      <c r="AI10" s="13">
        <f>IF(G10="CPI",#REF!*AH10,IFERROR(ROUNDDOWN(AE10*AH10,0),"-"))</f>
        <v>0</v>
      </c>
      <c r="AJ10" s="17" t="str">
        <f t="shared" si="10"/>
        <v>-</v>
      </c>
    </row>
    <row r="11" spans="1:36" ht="30.75" customHeight="1" x14ac:dyDescent="0.3">
      <c r="A11" s="10"/>
      <c r="B11" s="11"/>
      <c r="C11" s="12"/>
      <c r="D11" s="12"/>
      <c r="E11" s="10"/>
      <c r="F11" s="13" t="s">
        <v>54</v>
      </c>
      <c r="G11" s="14" t="s">
        <v>27</v>
      </c>
      <c r="H11" s="15"/>
      <c r="I11" s="16">
        <f t="shared" si="11"/>
        <v>0</v>
      </c>
      <c r="J11" s="10"/>
      <c r="K11" s="17"/>
      <c r="L11" s="12"/>
      <c r="M11" s="17"/>
      <c r="N11" s="17">
        <f t="shared" si="0"/>
        <v>0</v>
      </c>
      <c r="O11" s="18"/>
      <c r="P11" s="17">
        <f t="shared" si="1"/>
        <v>0</v>
      </c>
      <c r="Q11" s="19"/>
      <c r="R11" s="17">
        <f t="shared" si="2"/>
        <v>0</v>
      </c>
      <c r="S11" s="17">
        <f t="shared" si="3"/>
        <v>0</v>
      </c>
      <c r="T11" s="18" t="str">
        <f t="shared" si="4"/>
        <v>-</v>
      </c>
      <c r="U11" s="10"/>
      <c r="V11" s="20"/>
      <c r="W11" s="16"/>
      <c r="X11" s="13" t="s">
        <v>29</v>
      </c>
      <c r="Y11" s="17" t="str">
        <f t="shared" si="5"/>
        <v>-</v>
      </c>
      <c r="Z11" s="17" t="str">
        <f t="shared" si="6"/>
        <v>-</v>
      </c>
      <c r="AA11" s="16"/>
      <c r="AB11" s="18" t="str">
        <f t="shared" si="7"/>
        <v>-</v>
      </c>
      <c r="AC11" s="10"/>
      <c r="AD11" s="19"/>
      <c r="AE11" s="13">
        <f t="shared" si="8"/>
        <v>0</v>
      </c>
      <c r="AF11" s="17" t="str">
        <f t="shared" si="9"/>
        <v>-</v>
      </c>
      <c r="AG11" s="10"/>
      <c r="AH11" s="19"/>
      <c r="AI11" s="13">
        <f>IF(G11="CPI",#REF!*AH11,IFERROR(ROUNDDOWN(AE11*AH11,0),"-"))</f>
        <v>0</v>
      </c>
      <c r="AJ11" s="17" t="str">
        <f t="shared" si="10"/>
        <v>-</v>
      </c>
    </row>
    <row r="12" spans="1:36" ht="30.75" customHeight="1" x14ac:dyDescent="0.3">
      <c r="A12" s="10"/>
      <c r="B12" s="11"/>
      <c r="C12" s="12"/>
      <c r="D12" s="12"/>
      <c r="E12" s="10"/>
      <c r="F12" s="13" t="s">
        <v>54</v>
      </c>
      <c r="G12" s="14" t="s">
        <v>27</v>
      </c>
      <c r="H12" s="21"/>
      <c r="I12" s="16">
        <f t="shared" si="11"/>
        <v>0</v>
      </c>
      <c r="J12" s="10"/>
      <c r="K12" s="17"/>
      <c r="L12" s="12"/>
      <c r="M12" s="17"/>
      <c r="N12" s="17">
        <f t="shared" si="0"/>
        <v>0</v>
      </c>
      <c r="O12" s="18"/>
      <c r="P12" s="17">
        <f t="shared" si="1"/>
        <v>0</v>
      </c>
      <c r="Q12" s="19"/>
      <c r="R12" s="17">
        <f t="shared" si="2"/>
        <v>0</v>
      </c>
      <c r="S12" s="17">
        <f t="shared" si="3"/>
        <v>0</v>
      </c>
      <c r="T12" s="18" t="str">
        <f t="shared" si="4"/>
        <v>-</v>
      </c>
      <c r="U12" s="10"/>
      <c r="V12" s="20"/>
      <c r="W12" s="16"/>
      <c r="X12" s="13" t="s">
        <v>29</v>
      </c>
      <c r="Y12" s="17" t="str">
        <f t="shared" si="5"/>
        <v>-</v>
      </c>
      <c r="Z12" s="17" t="str">
        <f t="shared" si="6"/>
        <v>-</v>
      </c>
      <c r="AA12" s="16"/>
      <c r="AB12" s="18" t="str">
        <f t="shared" si="7"/>
        <v>-</v>
      </c>
      <c r="AC12" s="10"/>
      <c r="AD12" s="19"/>
      <c r="AE12" s="13">
        <f t="shared" si="8"/>
        <v>0</v>
      </c>
      <c r="AF12" s="17" t="str">
        <f t="shared" si="9"/>
        <v>-</v>
      </c>
      <c r="AG12" s="10"/>
      <c r="AH12" s="19"/>
      <c r="AI12" s="13">
        <f>IF(G12="CPI",#REF!*AH12,IFERROR(ROUNDDOWN(AE12*AH12,0),"-"))</f>
        <v>0</v>
      </c>
      <c r="AJ12" s="17" t="str">
        <f t="shared" si="10"/>
        <v>-</v>
      </c>
    </row>
    <row r="13" spans="1:36" ht="17.25" customHeight="1" x14ac:dyDescent="0.3">
      <c r="A13" s="22"/>
      <c r="B13" s="6" t="s">
        <v>28</v>
      </c>
      <c r="C13" s="9" t="s">
        <v>29</v>
      </c>
      <c r="D13" s="9" t="s">
        <v>29</v>
      </c>
      <c r="E13" s="22"/>
      <c r="F13" s="9" t="s">
        <v>29</v>
      </c>
      <c r="G13" s="6" t="s">
        <v>29</v>
      </c>
      <c r="H13" s="5" t="str">
        <f>IFERROR(N13/I13,"-")</f>
        <v>-</v>
      </c>
      <c r="I13" s="25">
        <f>IFERROR(SUM(I3:I12),"-")</f>
        <v>0</v>
      </c>
      <c r="J13" s="22"/>
      <c r="K13" s="23"/>
      <c r="L13" s="6"/>
      <c r="M13" s="23"/>
      <c r="N13" s="23">
        <f>IFERROR(SUM(N3:N12),"-")</f>
        <v>0</v>
      </c>
      <c r="O13" s="6" t="s">
        <v>29</v>
      </c>
      <c r="P13" s="23">
        <f>IFERROR(SUM(P3:P12),"-")</f>
        <v>0</v>
      </c>
      <c r="Q13" s="9" t="s">
        <v>29</v>
      </c>
      <c r="R13" s="23">
        <f>IFERROR(SUM(R3:R12),"-")</f>
        <v>0</v>
      </c>
      <c r="S13" s="23">
        <f t="shared" si="3"/>
        <v>0</v>
      </c>
      <c r="T13" s="24">
        <v>0</v>
      </c>
      <c r="U13" s="22"/>
      <c r="V13" s="25">
        <f>IFERROR(SUM(V3:V12),"-")</f>
        <v>0</v>
      </c>
      <c r="W13" s="25" t="s">
        <v>29</v>
      </c>
      <c r="X13" s="25" t="s">
        <v>29</v>
      </c>
      <c r="Y13" s="23" t="str">
        <f t="shared" si="5"/>
        <v>-</v>
      </c>
      <c r="Z13" s="23" t="str">
        <f t="shared" si="6"/>
        <v>-</v>
      </c>
      <c r="AA13" s="6" t="s">
        <v>29</v>
      </c>
      <c r="AB13" s="6" t="s">
        <v>29</v>
      </c>
      <c r="AC13" s="22"/>
      <c r="AD13" s="24" t="str">
        <f>IFERROR(AE13/V13,"-")</f>
        <v>-</v>
      </c>
      <c r="AE13" s="25">
        <f>IFERROR(SUM(AE3:AE12),"-")</f>
        <v>0</v>
      </c>
      <c r="AF13" s="23" t="str">
        <f t="shared" si="9"/>
        <v>-</v>
      </c>
      <c r="AG13" s="22"/>
      <c r="AH13" s="24" t="str">
        <f>IFERROR(AI13/AE13,"-")</f>
        <v>-</v>
      </c>
      <c r="AI13" s="25">
        <f>IFERROR(SUM(AI3:AI12),"-")</f>
        <v>0</v>
      </c>
      <c r="AJ13" s="23" t="str">
        <f t="shared" si="10"/>
        <v>-</v>
      </c>
    </row>
    <row r="14" spans="1:36" ht="13.8" x14ac:dyDescent="0.3">
      <c r="A14" s="26"/>
      <c r="B14" s="27"/>
      <c r="C14" s="27"/>
      <c r="D14" s="27"/>
      <c r="E14" s="26"/>
      <c r="F14" s="27"/>
      <c r="G14" s="27"/>
      <c r="H14" s="27"/>
      <c r="I14" s="27"/>
      <c r="J14" s="26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6"/>
      <c r="V14" s="27"/>
      <c r="W14" s="27"/>
      <c r="X14" s="27"/>
      <c r="Y14" s="27"/>
      <c r="Z14" s="27"/>
      <c r="AA14" s="27"/>
      <c r="AB14" s="27"/>
      <c r="AC14" s="26"/>
      <c r="AD14" s="27"/>
      <c r="AE14" s="27"/>
      <c r="AF14" s="27"/>
      <c r="AG14" s="26"/>
      <c r="AH14" s="28"/>
      <c r="AI14" s="28"/>
      <c r="AJ14" s="28"/>
    </row>
    <row r="15" spans="1:36" ht="51.75" customHeight="1" x14ac:dyDescent="0.3">
      <c r="A15" s="1"/>
      <c r="B15" s="2" t="s">
        <v>0</v>
      </c>
      <c r="C15" s="2" t="s">
        <v>1</v>
      </c>
      <c r="D15" s="2" t="s">
        <v>2</v>
      </c>
      <c r="E15" s="1"/>
      <c r="F15" s="3" t="s">
        <v>3</v>
      </c>
      <c r="G15" s="2" t="s">
        <v>50</v>
      </c>
      <c r="H15" s="2" t="s">
        <v>51</v>
      </c>
      <c r="I15" s="2" t="s">
        <v>52</v>
      </c>
      <c r="J15" s="1"/>
      <c r="K15" s="39" t="s">
        <v>68</v>
      </c>
      <c r="L15" s="41" t="s">
        <v>69</v>
      </c>
      <c r="M15" s="39" t="s">
        <v>70</v>
      </c>
      <c r="N15" s="4" t="s">
        <v>7</v>
      </c>
      <c r="O15" s="3" t="s">
        <v>8</v>
      </c>
      <c r="P15" s="4" t="s">
        <v>9</v>
      </c>
      <c r="Q15" s="3" t="s">
        <v>10</v>
      </c>
      <c r="R15" s="5" t="s">
        <v>11</v>
      </c>
      <c r="S15" s="5" t="s">
        <v>12</v>
      </c>
      <c r="T15" s="4" t="s">
        <v>13</v>
      </c>
      <c r="U15" s="1"/>
      <c r="V15" s="2" t="s">
        <v>14</v>
      </c>
      <c r="W15" s="2" t="s">
        <v>15</v>
      </c>
      <c r="X15" s="2" t="s">
        <v>16</v>
      </c>
      <c r="Y15" s="2" t="s">
        <v>17</v>
      </c>
      <c r="Z15" s="2" t="s">
        <v>18</v>
      </c>
      <c r="AA15" s="2" t="s">
        <v>19</v>
      </c>
      <c r="AB15" s="2" t="s">
        <v>20</v>
      </c>
      <c r="AC15" s="1"/>
      <c r="AD15" s="6" t="s">
        <v>21</v>
      </c>
      <c r="AE15" s="7" t="s">
        <v>22</v>
      </c>
      <c r="AF15" s="7" t="s">
        <v>23</v>
      </c>
      <c r="AG15" s="1"/>
      <c r="AH15" s="6" t="s">
        <v>24</v>
      </c>
      <c r="AI15" s="8" t="s">
        <v>25</v>
      </c>
      <c r="AJ15" s="8" t="s">
        <v>26</v>
      </c>
    </row>
    <row r="16" spans="1:36" ht="30.75" customHeight="1" x14ac:dyDescent="0.3">
      <c r="A16" s="10"/>
      <c r="B16" s="11"/>
      <c r="C16" s="12"/>
      <c r="D16" s="12"/>
      <c r="E16" s="10"/>
      <c r="F16" s="13" t="s">
        <v>55</v>
      </c>
      <c r="G16" s="14" t="s">
        <v>27</v>
      </c>
      <c r="H16" s="15"/>
      <c r="I16" s="16">
        <f>IFERROR(V16*AD16,"-")</f>
        <v>0</v>
      </c>
      <c r="J16" s="10"/>
      <c r="K16" s="17"/>
      <c r="L16" s="12"/>
      <c r="M16" s="17"/>
      <c r="N16" s="17">
        <f t="shared" ref="N16:N25" si="23">IFERROR((H16*I16),"-")</f>
        <v>0</v>
      </c>
      <c r="O16" s="18"/>
      <c r="P16" s="17">
        <f t="shared" ref="P16:P25" si="24">IFERROR(N16*(1-O16),"-")</f>
        <v>0</v>
      </c>
      <c r="Q16" s="19"/>
      <c r="R16" s="17">
        <f t="shared" ref="R16:R25" si="25">IFERROR(P16*(1+Q16),"-")</f>
        <v>0</v>
      </c>
      <c r="S16" s="17">
        <f t="shared" ref="S16:S26" si="26">IFERROR(R16*1.22,"-")</f>
        <v>0</v>
      </c>
      <c r="T16" s="18" t="str">
        <f t="shared" ref="T16:T25" si="27">IFERROR(S16/$S$13,"-")</f>
        <v>-</v>
      </c>
      <c r="U16" s="10"/>
      <c r="V16" s="20"/>
      <c r="W16" s="16"/>
      <c r="X16" s="13" t="s">
        <v>29</v>
      </c>
      <c r="Y16" s="17" t="str">
        <f t="shared" ref="Y16:Y26" si="28">IFERROR(S16/V16*1000,"-")</f>
        <v>-</v>
      </c>
      <c r="Z16" s="17" t="str">
        <f t="shared" ref="Z16:Z26" si="29">IFERROR(S16/X16*1000,"-")</f>
        <v>-</v>
      </c>
      <c r="AA16" s="16"/>
      <c r="AB16" s="18" t="str">
        <f t="shared" ref="AB16:AB25" si="30">IFERROR(X16/AA16,"-")</f>
        <v>-</v>
      </c>
      <c r="AC16" s="10"/>
      <c r="AD16" s="19"/>
      <c r="AE16" s="13">
        <f t="shared" ref="AE16:AE25" si="31">IFERROR(ROUNDDOWN(V16*AD16,0),"-")</f>
        <v>0</v>
      </c>
      <c r="AF16" s="17" t="str">
        <f t="shared" ref="AF16:AF26" si="32">IFERROR(S16/AE16,"-")</f>
        <v>-</v>
      </c>
      <c r="AG16" s="10"/>
      <c r="AH16" s="19"/>
      <c r="AI16" s="13">
        <f>IF(G16="CPI",#REF!*AH16,IFERROR(ROUNDDOWN(AE16*AH16,0),"-"))</f>
        <v>0</v>
      </c>
      <c r="AJ16" s="17" t="str">
        <f t="shared" ref="AJ16:AJ26" si="33">IFERROR(S16/AI16,"-")</f>
        <v>-</v>
      </c>
    </row>
    <row r="17" spans="1:36" ht="30.75" customHeight="1" x14ac:dyDescent="0.3">
      <c r="A17" s="10"/>
      <c r="B17" s="11"/>
      <c r="C17" s="12"/>
      <c r="D17" s="12"/>
      <c r="E17" s="10"/>
      <c r="F17" s="13" t="s">
        <v>55</v>
      </c>
      <c r="G17" s="14" t="s">
        <v>27</v>
      </c>
      <c r="H17" s="15"/>
      <c r="I17" s="16">
        <f t="shared" ref="I17:I25" si="34">IFERROR(V17*AD17,"-")</f>
        <v>0</v>
      </c>
      <c r="J17" s="10"/>
      <c r="K17" s="17"/>
      <c r="L17" s="12"/>
      <c r="M17" s="17"/>
      <c r="N17" s="17">
        <f t="shared" si="23"/>
        <v>0</v>
      </c>
      <c r="O17" s="18"/>
      <c r="P17" s="17">
        <f t="shared" si="24"/>
        <v>0</v>
      </c>
      <c r="Q17" s="19"/>
      <c r="R17" s="17">
        <f t="shared" si="25"/>
        <v>0</v>
      </c>
      <c r="S17" s="17">
        <f t="shared" si="26"/>
        <v>0</v>
      </c>
      <c r="T17" s="18" t="str">
        <f t="shared" si="27"/>
        <v>-</v>
      </c>
      <c r="U17" s="10"/>
      <c r="V17" s="20"/>
      <c r="W17" s="16"/>
      <c r="X17" s="13">
        <v>0</v>
      </c>
      <c r="Y17" s="17" t="str">
        <f t="shared" si="28"/>
        <v>-</v>
      </c>
      <c r="Z17" s="17" t="str">
        <f t="shared" si="29"/>
        <v>-</v>
      </c>
      <c r="AA17" s="16"/>
      <c r="AB17" s="18" t="str">
        <f t="shared" si="30"/>
        <v>-</v>
      </c>
      <c r="AC17" s="10"/>
      <c r="AD17" s="19"/>
      <c r="AE17" s="13">
        <f t="shared" si="31"/>
        <v>0</v>
      </c>
      <c r="AF17" s="17" t="str">
        <f t="shared" si="32"/>
        <v>-</v>
      </c>
      <c r="AG17" s="10"/>
      <c r="AH17" s="19"/>
      <c r="AI17" s="13">
        <f>IF(G17="CPI",#REF!*AH17,IFERROR(ROUNDDOWN(AE17*AH17,0),"-"))</f>
        <v>0</v>
      </c>
      <c r="AJ17" s="17" t="str">
        <f t="shared" si="33"/>
        <v>-</v>
      </c>
    </row>
    <row r="18" spans="1:36" ht="30.75" customHeight="1" x14ac:dyDescent="0.3">
      <c r="A18" s="10"/>
      <c r="B18" s="11"/>
      <c r="C18" s="12"/>
      <c r="D18" s="12"/>
      <c r="E18" s="10"/>
      <c r="F18" s="13" t="s">
        <v>55</v>
      </c>
      <c r="G18" s="14" t="s">
        <v>27</v>
      </c>
      <c r="H18" s="15"/>
      <c r="I18" s="16">
        <f t="shared" ref="I18:I22" si="35">IFERROR(V18*AD18,"-")</f>
        <v>0</v>
      </c>
      <c r="J18" s="10"/>
      <c r="K18" s="17"/>
      <c r="L18" s="12"/>
      <c r="M18" s="17"/>
      <c r="N18" s="17">
        <f t="shared" ref="N18:N22" si="36">IFERROR((H18*I18),"-")</f>
        <v>0</v>
      </c>
      <c r="O18" s="18"/>
      <c r="P18" s="17">
        <f t="shared" ref="P18:P22" si="37">IFERROR(N18*(1-O18),"-")</f>
        <v>0</v>
      </c>
      <c r="Q18" s="19"/>
      <c r="R18" s="17">
        <f t="shared" ref="R18:R22" si="38">IFERROR(P18*(1+Q18),"-")</f>
        <v>0</v>
      </c>
      <c r="S18" s="17">
        <f t="shared" si="26"/>
        <v>0</v>
      </c>
      <c r="T18" s="18" t="str">
        <f t="shared" ref="T18:T22" si="39">IFERROR(S18/$S$13,"-")</f>
        <v>-</v>
      </c>
      <c r="U18" s="10"/>
      <c r="V18" s="20"/>
      <c r="W18" s="16"/>
      <c r="X18" s="13">
        <v>0</v>
      </c>
      <c r="Y18" s="17" t="str">
        <f t="shared" ref="Y18:Y22" si="40">IFERROR(S18/V18*1000,"-")</f>
        <v>-</v>
      </c>
      <c r="Z18" s="17" t="str">
        <f t="shared" ref="Z18:Z22" si="41">IFERROR(S18/X18*1000,"-")</f>
        <v>-</v>
      </c>
      <c r="AA18" s="16"/>
      <c r="AB18" s="18" t="str">
        <f t="shared" ref="AB18:AB22" si="42">IFERROR(X18/AA18,"-")</f>
        <v>-</v>
      </c>
      <c r="AC18" s="10"/>
      <c r="AD18" s="19"/>
      <c r="AE18" s="13">
        <f t="shared" ref="AE18:AE22" si="43">IFERROR(ROUNDDOWN(V18*AD18,0),"-")</f>
        <v>0</v>
      </c>
      <c r="AF18" s="17" t="str">
        <f t="shared" ref="AF18:AF22" si="44">IFERROR(S18/AE18,"-")</f>
        <v>-</v>
      </c>
      <c r="AG18" s="10"/>
      <c r="AH18" s="19"/>
      <c r="AI18" s="13">
        <f>IF(G18="CPI",#REF!*AH18,IFERROR(ROUNDDOWN(AE18*AH18,0),"-"))</f>
        <v>0</v>
      </c>
      <c r="AJ18" s="17" t="str">
        <f t="shared" ref="AJ18:AJ22" si="45">IFERROR(S18/AI18,"-")</f>
        <v>-</v>
      </c>
    </row>
    <row r="19" spans="1:36" ht="30.75" customHeight="1" x14ac:dyDescent="0.3">
      <c r="A19" s="10"/>
      <c r="B19" s="11"/>
      <c r="C19" s="12"/>
      <c r="D19" s="12"/>
      <c r="E19" s="10"/>
      <c r="F19" s="13" t="s">
        <v>55</v>
      </c>
      <c r="G19" s="14" t="s">
        <v>27</v>
      </c>
      <c r="H19" s="15"/>
      <c r="I19" s="16">
        <f t="shared" si="35"/>
        <v>0</v>
      </c>
      <c r="J19" s="10"/>
      <c r="K19" s="17"/>
      <c r="L19" s="12"/>
      <c r="M19" s="17"/>
      <c r="N19" s="17">
        <f t="shared" si="36"/>
        <v>0</v>
      </c>
      <c r="O19" s="18"/>
      <c r="P19" s="17">
        <f t="shared" si="37"/>
        <v>0</v>
      </c>
      <c r="Q19" s="19"/>
      <c r="R19" s="17">
        <f t="shared" si="38"/>
        <v>0</v>
      </c>
      <c r="S19" s="17">
        <f t="shared" si="26"/>
        <v>0</v>
      </c>
      <c r="T19" s="18" t="str">
        <f t="shared" si="39"/>
        <v>-</v>
      </c>
      <c r="U19" s="10"/>
      <c r="V19" s="20"/>
      <c r="W19" s="16"/>
      <c r="X19" s="13">
        <v>0</v>
      </c>
      <c r="Y19" s="17" t="str">
        <f t="shared" si="40"/>
        <v>-</v>
      </c>
      <c r="Z19" s="17" t="str">
        <f t="shared" si="41"/>
        <v>-</v>
      </c>
      <c r="AA19" s="16"/>
      <c r="AB19" s="18" t="str">
        <f t="shared" si="42"/>
        <v>-</v>
      </c>
      <c r="AC19" s="10"/>
      <c r="AD19" s="19"/>
      <c r="AE19" s="13">
        <f t="shared" si="43"/>
        <v>0</v>
      </c>
      <c r="AF19" s="17" t="str">
        <f t="shared" si="44"/>
        <v>-</v>
      </c>
      <c r="AG19" s="10"/>
      <c r="AH19" s="19"/>
      <c r="AI19" s="13">
        <f>IF(G19="CPI",#REF!*AH19,IFERROR(ROUNDDOWN(AE19*AH19,0),"-"))</f>
        <v>0</v>
      </c>
      <c r="AJ19" s="17" t="str">
        <f t="shared" si="45"/>
        <v>-</v>
      </c>
    </row>
    <row r="20" spans="1:36" ht="30.75" customHeight="1" x14ac:dyDescent="0.3">
      <c r="A20" s="10"/>
      <c r="B20" s="11"/>
      <c r="C20" s="12"/>
      <c r="D20" s="12"/>
      <c r="E20" s="10"/>
      <c r="F20" s="13" t="s">
        <v>55</v>
      </c>
      <c r="G20" s="14" t="s">
        <v>27</v>
      </c>
      <c r="H20" s="15"/>
      <c r="I20" s="16">
        <f t="shared" si="35"/>
        <v>0</v>
      </c>
      <c r="J20" s="10"/>
      <c r="K20" s="17"/>
      <c r="L20" s="12"/>
      <c r="M20" s="17"/>
      <c r="N20" s="17">
        <f t="shared" si="36"/>
        <v>0</v>
      </c>
      <c r="O20" s="18"/>
      <c r="P20" s="17">
        <f t="shared" si="37"/>
        <v>0</v>
      </c>
      <c r="Q20" s="19"/>
      <c r="R20" s="17">
        <f t="shared" si="38"/>
        <v>0</v>
      </c>
      <c r="S20" s="17">
        <f t="shared" si="26"/>
        <v>0</v>
      </c>
      <c r="T20" s="18" t="str">
        <f t="shared" si="39"/>
        <v>-</v>
      </c>
      <c r="U20" s="10"/>
      <c r="V20" s="20"/>
      <c r="W20" s="16"/>
      <c r="X20" s="13">
        <v>0</v>
      </c>
      <c r="Y20" s="17" t="str">
        <f t="shared" si="40"/>
        <v>-</v>
      </c>
      <c r="Z20" s="17" t="str">
        <f t="shared" si="41"/>
        <v>-</v>
      </c>
      <c r="AA20" s="16"/>
      <c r="AB20" s="18" t="str">
        <f t="shared" si="42"/>
        <v>-</v>
      </c>
      <c r="AC20" s="10"/>
      <c r="AD20" s="19"/>
      <c r="AE20" s="13">
        <f t="shared" si="43"/>
        <v>0</v>
      </c>
      <c r="AF20" s="17" t="str">
        <f t="shared" si="44"/>
        <v>-</v>
      </c>
      <c r="AG20" s="10"/>
      <c r="AH20" s="19"/>
      <c r="AI20" s="13">
        <f>IF(G20="CPI",#REF!*AH20,IFERROR(ROUNDDOWN(AE20*AH20,0),"-"))</f>
        <v>0</v>
      </c>
      <c r="AJ20" s="17" t="str">
        <f t="shared" si="45"/>
        <v>-</v>
      </c>
    </row>
    <row r="21" spans="1:36" ht="30.75" customHeight="1" x14ac:dyDescent="0.3">
      <c r="A21" s="10"/>
      <c r="B21" s="11"/>
      <c r="C21" s="12"/>
      <c r="D21" s="12"/>
      <c r="E21" s="10"/>
      <c r="F21" s="13" t="s">
        <v>55</v>
      </c>
      <c r="G21" s="14" t="s">
        <v>27</v>
      </c>
      <c r="H21" s="15"/>
      <c r="I21" s="16">
        <f t="shared" si="35"/>
        <v>0</v>
      </c>
      <c r="J21" s="10"/>
      <c r="K21" s="17"/>
      <c r="L21" s="12"/>
      <c r="M21" s="17"/>
      <c r="N21" s="17">
        <f t="shared" si="36"/>
        <v>0</v>
      </c>
      <c r="O21" s="18"/>
      <c r="P21" s="17">
        <f t="shared" si="37"/>
        <v>0</v>
      </c>
      <c r="Q21" s="19"/>
      <c r="R21" s="17">
        <f t="shared" si="38"/>
        <v>0</v>
      </c>
      <c r="S21" s="17">
        <f t="shared" si="26"/>
        <v>0</v>
      </c>
      <c r="T21" s="18" t="str">
        <f t="shared" si="39"/>
        <v>-</v>
      </c>
      <c r="U21" s="10"/>
      <c r="V21" s="20"/>
      <c r="W21" s="16"/>
      <c r="X21" s="13">
        <v>0</v>
      </c>
      <c r="Y21" s="17" t="str">
        <f t="shared" si="40"/>
        <v>-</v>
      </c>
      <c r="Z21" s="17" t="str">
        <f t="shared" si="41"/>
        <v>-</v>
      </c>
      <c r="AA21" s="16"/>
      <c r="AB21" s="18" t="str">
        <f t="shared" si="42"/>
        <v>-</v>
      </c>
      <c r="AC21" s="10"/>
      <c r="AD21" s="19"/>
      <c r="AE21" s="13">
        <f t="shared" si="43"/>
        <v>0</v>
      </c>
      <c r="AF21" s="17" t="str">
        <f t="shared" si="44"/>
        <v>-</v>
      </c>
      <c r="AG21" s="10"/>
      <c r="AH21" s="19"/>
      <c r="AI21" s="13">
        <f>IF(G21="CPI",#REF!*AH21,IFERROR(ROUNDDOWN(AE21*AH21,0),"-"))</f>
        <v>0</v>
      </c>
      <c r="AJ21" s="17" t="str">
        <f t="shared" si="45"/>
        <v>-</v>
      </c>
    </row>
    <row r="22" spans="1:36" ht="30.75" customHeight="1" x14ac:dyDescent="0.3">
      <c r="A22" s="10"/>
      <c r="B22" s="11"/>
      <c r="C22" s="12"/>
      <c r="D22" s="12"/>
      <c r="E22" s="10"/>
      <c r="F22" s="13" t="s">
        <v>55</v>
      </c>
      <c r="G22" s="14" t="s">
        <v>27</v>
      </c>
      <c r="H22" s="15"/>
      <c r="I22" s="16">
        <f t="shared" si="35"/>
        <v>0</v>
      </c>
      <c r="J22" s="10"/>
      <c r="K22" s="17"/>
      <c r="L22" s="12"/>
      <c r="M22" s="17"/>
      <c r="N22" s="17">
        <f t="shared" si="36"/>
        <v>0</v>
      </c>
      <c r="O22" s="18"/>
      <c r="P22" s="17">
        <f t="shared" si="37"/>
        <v>0</v>
      </c>
      <c r="Q22" s="19"/>
      <c r="R22" s="17">
        <f t="shared" si="38"/>
        <v>0</v>
      </c>
      <c r="S22" s="17">
        <f t="shared" si="26"/>
        <v>0</v>
      </c>
      <c r="T22" s="18" t="str">
        <f t="shared" si="39"/>
        <v>-</v>
      </c>
      <c r="U22" s="10"/>
      <c r="V22" s="20"/>
      <c r="W22" s="16"/>
      <c r="X22" s="13">
        <v>0</v>
      </c>
      <c r="Y22" s="17" t="str">
        <f t="shared" si="40"/>
        <v>-</v>
      </c>
      <c r="Z22" s="17" t="str">
        <f t="shared" si="41"/>
        <v>-</v>
      </c>
      <c r="AA22" s="16"/>
      <c r="AB22" s="18" t="str">
        <f t="shared" si="42"/>
        <v>-</v>
      </c>
      <c r="AC22" s="10"/>
      <c r="AD22" s="19"/>
      <c r="AE22" s="13">
        <f t="shared" si="43"/>
        <v>0</v>
      </c>
      <c r="AF22" s="17" t="str">
        <f t="shared" si="44"/>
        <v>-</v>
      </c>
      <c r="AG22" s="10"/>
      <c r="AH22" s="19"/>
      <c r="AI22" s="13">
        <f>IF(G22="CPI",#REF!*AH22,IFERROR(ROUNDDOWN(AE22*AH22,0),"-"))</f>
        <v>0</v>
      </c>
      <c r="AJ22" s="17" t="str">
        <f t="shared" si="45"/>
        <v>-</v>
      </c>
    </row>
    <row r="23" spans="1:36" ht="30.75" customHeight="1" x14ac:dyDescent="0.3">
      <c r="A23" s="10"/>
      <c r="B23" s="11"/>
      <c r="C23" s="12"/>
      <c r="D23" s="12"/>
      <c r="E23" s="10"/>
      <c r="F23" s="13" t="s">
        <v>55</v>
      </c>
      <c r="G23" s="14" t="s">
        <v>27</v>
      </c>
      <c r="H23" s="15"/>
      <c r="I23" s="16">
        <f t="shared" si="34"/>
        <v>0</v>
      </c>
      <c r="J23" s="10"/>
      <c r="K23" s="17"/>
      <c r="L23" s="12"/>
      <c r="M23" s="17"/>
      <c r="N23" s="17">
        <f t="shared" si="23"/>
        <v>0</v>
      </c>
      <c r="O23" s="18"/>
      <c r="P23" s="17">
        <f t="shared" si="24"/>
        <v>0</v>
      </c>
      <c r="Q23" s="19"/>
      <c r="R23" s="17">
        <f t="shared" si="25"/>
        <v>0</v>
      </c>
      <c r="S23" s="17">
        <f t="shared" si="26"/>
        <v>0</v>
      </c>
      <c r="T23" s="18" t="str">
        <f t="shared" si="27"/>
        <v>-</v>
      </c>
      <c r="U23" s="10"/>
      <c r="V23" s="20"/>
      <c r="W23" s="16"/>
      <c r="X23" s="13" t="s">
        <v>29</v>
      </c>
      <c r="Y23" s="17" t="str">
        <f t="shared" si="28"/>
        <v>-</v>
      </c>
      <c r="Z23" s="17" t="str">
        <f t="shared" si="29"/>
        <v>-</v>
      </c>
      <c r="AA23" s="16"/>
      <c r="AB23" s="18" t="str">
        <f t="shared" si="30"/>
        <v>-</v>
      </c>
      <c r="AC23" s="10"/>
      <c r="AD23" s="19"/>
      <c r="AE23" s="13">
        <f t="shared" si="31"/>
        <v>0</v>
      </c>
      <c r="AF23" s="17" t="str">
        <f t="shared" si="32"/>
        <v>-</v>
      </c>
      <c r="AG23" s="10"/>
      <c r="AH23" s="19"/>
      <c r="AI23" s="13">
        <f>IF(G23="CPI",#REF!*AH23,IFERROR(ROUNDDOWN(AE23*AH23,0),"-"))</f>
        <v>0</v>
      </c>
      <c r="AJ23" s="17" t="str">
        <f t="shared" si="33"/>
        <v>-</v>
      </c>
    </row>
    <row r="24" spans="1:36" ht="30.75" customHeight="1" x14ac:dyDescent="0.3">
      <c r="A24" s="10"/>
      <c r="B24" s="11"/>
      <c r="C24" s="12"/>
      <c r="D24" s="12"/>
      <c r="E24" s="10"/>
      <c r="F24" s="13" t="s">
        <v>55</v>
      </c>
      <c r="G24" s="14" t="s">
        <v>27</v>
      </c>
      <c r="H24" s="15"/>
      <c r="I24" s="16">
        <f t="shared" si="34"/>
        <v>0</v>
      </c>
      <c r="J24" s="10"/>
      <c r="K24" s="17"/>
      <c r="L24" s="12"/>
      <c r="M24" s="17"/>
      <c r="N24" s="17">
        <f t="shared" si="23"/>
        <v>0</v>
      </c>
      <c r="O24" s="18"/>
      <c r="P24" s="17">
        <f t="shared" si="24"/>
        <v>0</v>
      </c>
      <c r="Q24" s="19"/>
      <c r="R24" s="17">
        <f t="shared" si="25"/>
        <v>0</v>
      </c>
      <c r="S24" s="17">
        <f t="shared" si="26"/>
        <v>0</v>
      </c>
      <c r="T24" s="18" t="str">
        <f t="shared" si="27"/>
        <v>-</v>
      </c>
      <c r="U24" s="10"/>
      <c r="V24" s="20"/>
      <c r="W24" s="16"/>
      <c r="X24" s="13" t="s">
        <v>29</v>
      </c>
      <c r="Y24" s="17" t="str">
        <f t="shared" si="28"/>
        <v>-</v>
      </c>
      <c r="Z24" s="17" t="str">
        <f t="shared" si="29"/>
        <v>-</v>
      </c>
      <c r="AA24" s="16"/>
      <c r="AB24" s="18" t="str">
        <f t="shared" si="30"/>
        <v>-</v>
      </c>
      <c r="AC24" s="10"/>
      <c r="AD24" s="19"/>
      <c r="AE24" s="13">
        <f t="shared" si="31"/>
        <v>0</v>
      </c>
      <c r="AF24" s="17" t="str">
        <f t="shared" si="32"/>
        <v>-</v>
      </c>
      <c r="AG24" s="10"/>
      <c r="AH24" s="19"/>
      <c r="AI24" s="13">
        <f>IF(G24="CPI",#REF!*AH24,IFERROR(ROUNDDOWN(AE24*AH24,0),"-"))</f>
        <v>0</v>
      </c>
      <c r="AJ24" s="17" t="str">
        <f t="shared" si="33"/>
        <v>-</v>
      </c>
    </row>
    <row r="25" spans="1:36" ht="30.75" customHeight="1" x14ac:dyDescent="0.3">
      <c r="A25" s="10"/>
      <c r="B25" s="11"/>
      <c r="C25" s="12"/>
      <c r="D25" s="12"/>
      <c r="E25" s="10"/>
      <c r="F25" s="13" t="s">
        <v>55</v>
      </c>
      <c r="G25" s="14" t="s">
        <v>27</v>
      </c>
      <c r="H25" s="15"/>
      <c r="I25" s="16">
        <f t="shared" si="34"/>
        <v>0</v>
      </c>
      <c r="J25" s="10"/>
      <c r="K25" s="17"/>
      <c r="L25" s="12"/>
      <c r="M25" s="17"/>
      <c r="N25" s="17">
        <f t="shared" si="23"/>
        <v>0</v>
      </c>
      <c r="O25" s="18"/>
      <c r="P25" s="17">
        <f t="shared" si="24"/>
        <v>0</v>
      </c>
      <c r="Q25" s="19"/>
      <c r="R25" s="17">
        <f t="shared" si="25"/>
        <v>0</v>
      </c>
      <c r="S25" s="17">
        <f t="shared" si="26"/>
        <v>0</v>
      </c>
      <c r="T25" s="18" t="str">
        <f t="shared" si="27"/>
        <v>-</v>
      </c>
      <c r="U25" s="10"/>
      <c r="V25" s="20"/>
      <c r="W25" s="16"/>
      <c r="X25" s="13" t="s">
        <v>29</v>
      </c>
      <c r="Y25" s="17" t="str">
        <f t="shared" si="28"/>
        <v>-</v>
      </c>
      <c r="Z25" s="17" t="str">
        <f t="shared" si="29"/>
        <v>-</v>
      </c>
      <c r="AA25" s="16"/>
      <c r="AB25" s="18" t="str">
        <f t="shared" si="30"/>
        <v>-</v>
      </c>
      <c r="AC25" s="10"/>
      <c r="AD25" s="19"/>
      <c r="AE25" s="13">
        <f t="shared" si="31"/>
        <v>0</v>
      </c>
      <c r="AF25" s="17" t="str">
        <f t="shared" si="32"/>
        <v>-</v>
      </c>
      <c r="AG25" s="10"/>
      <c r="AH25" s="19"/>
      <c r="AI25" s="13">
        <f>IF(G25="CPI",#REF!*AH25,IFERROR(ROUNDDOWN(AE25*AH25,0),"-"))</f>
        <v>0</v>
      </c>
      <c r="AJ25" s="17" t="str">
        <f t="shared" si="33"/>
        <v>-</v>
      </c>
    </row>
    <row r="26" spans="1:36" ht="17.25" customHeight="1" x14ac:dyDescent="0.3">
      <c r="A26" s="22"/>
      <c r="B26" s="6" t="s">
        <v>28</v>
      </c>
      <c r="C26" s="9" t="s">
        <v>29</v>
      </c>
      <c r="D26" s="9" t="s">
        <v>29</v>
      </c>
      <c r="E26" s="22"/>
      <c r="F26" s="9" t="s">
        <v>29</v>
      </c>
      <c r="G26" s="6" t="s">
        <v>29</v>
      </c>
      <c r="H26" s="5" t="str">
        <f>IFERROR(N26/I26,"-")</f>
        <v>-</v>
      </c>
      <c r="I26" s="25">
        <f>IFERROR(SUM(I16:I25),"-")</f>
        <v>0</v>
      </c>
      <c r="J26" s="22"/>
      <c r="K26" s="23"/>
      <c r="L26" s="6"/>
      <c r="M26" s="23"/>
      <c r="N26" s="23">
        <f>IFERROR(SUM(N16:N25),"-")</f>
        <v>0</v>
      </c>
      <c r="O26" s="6" t="s">
        <v>29</v>
      </c>
      <c r="P26" s="23">
        <f>IFERROR(SUM(P16:P25),"-")</f>
        <v>0</v>
      </c>
      <c r="Q26" s="9" t="s">
        <v>29</v>
      </c>
      <c r="R26" s="23">
        <f>IFERROR(SUM(R16:R25),"-")</f>
        <v>0</v>
      </c>
      <c r="S26" s="23">
        <f t="shared" si="26"/>
        <v>0</v>
      </c>
      <c r="T26" s="24">
        <v>0</v>
      </c>
      <c r="U26" s="22"/>
      <c r="V26" s="25">
        <f>IFERROR(SUM(V16:V25),"-")</f>
        <v>0</v>
      </c>
      <c r="W26" s="25" t="s">
        <v>29</v>
      </c>
      <c r="X26" s="25" t="s">
        <v>29</v>
      </c>
      <c r="Y26" s="23" t="str">
        <f t="shared" si="28"/>
        <v>-</v>
      </c>
      <c r="Z26" s="23" t="str">
        <f t="shared" si="29"/>
        <v>-</v>
      </c>
      <c r="AA26" s="6" t="s">
        <v>29</v>
      </c>
      <c r="AB26" s="6" t="s">
        <v>29</v>
      </c>
      <c r="AC26" s="22"/>
      <c r="AD26" s="24" t="str">
        <f>IFERROR(AE26/V26,"-")</f>
        <v>-</v>
      </c>
      <c r="AE26" s="25">
        <f>IFERROR(SUM(AE16:AE25),"-")</f>
        <v>0</v>
      </c>
      <c r="AF26" s="23" t="str">
        <f t="shared" si="32"/>
        <v>-</v>
      </c>
      <c r="AG26" s="22"/>
      <c r="AH26" s="24" t="str">
        <f>IFERROR(AI26/AE26,"-")</f>
        <v>-</v>
      </c>
      <c r="AI26" s="25">
        <f>IFERROR(SUM(AI16:AI25),"-")</f>
        <v>0</v>
      </c>
      <c r="AJ26" s="23" t="str">
        <f t="shared" si="33"/>
        <v>-</v>
      </c>
    </row>
    <row r="27" spans="1:36" ht="15.75" customHeight="1" x14ac:dyDescent="0.3">
      <c r="A27" s="26"/>
      <c r="B27" s="27"/>
      <c r="C27" s="27"/>
      <c r="D27" s="27"/>
      <c r="E27" s="26"/>
      <c r="F27" s="27"/>
      <c r="G27" s="27"/>
      <c r="H27" s="27"/>
      <c r="I27" s="27"/>
      <c r="J27" s="26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6"/>
      <c r="V27" s="27"/>
      <c r="W27" s="27"/>
      <c r="X27" s="27"/>
      <c r="Y27" s="27"/>
      <c r="Z27" s="27"/>
      <c r="AA27" s="27"/>
      <c r="AB27" s="27"/>
      <c r="AC27" s="26"/>
      <c r="AD27" s="27"/>
      <c r="AE27" s="27"/>
      <c r="AF27" s="27"/>
      <c r="AG27" s="26"/>
      <c r="AH27" s="27"/>
      <c r="AI27" s="27"/>
      <c r="AJ27" s="27"/>
    </row>
    <row r="28" spans="1:36" ht="51.75" customHeight="1" x14ac:dyDescent="0.3">
      <c r="A28" s="1"/>
      <c r="B28" s="2" t="s">
        <v>0</v>
      </c>
      <c r="C28" s="2" t="s">
        <v>1</v>
      </c>
      <c r="D28" s="2" t="s">
        <v>2</v>
      </c>
      <c r="E28" s="1"/>
      <c r="F28" s="3" t="s">
        <v>3</v>
      </c>
      <c r="G28" s="2" t="s">
        <v>50</v>
      </c>
      <c r="H28" s="2" t="s">
        <v>51</v>
      </c>
      <c r="I28" s="2" t="s">
        <v>52</v>
      </c>
      <c r="J28" s="1"/>
      <c r="K28" s="39" t="s">
        <v>68</v>
      </c>
      <c r="L28" s="41" t="s">
        <v>69</v>
      </c>
      <c r="M28" s="39" t="s">
        <v>70</v>
      </c>
      <c r="N28" s="4" t="s">
        <v>7</v>
      </c>
      <c r="O28" s="3" t="s">
        <v>8</v>
      </c>
      <c r="P28" s="4" t="s">
        <v>9</v>
      </c>
      <c r="Q28" s="3" t="s">
        <v>10</v>
      </c>
      <c r="R28" s="5" t="s">
        <v>11</v>
      </c>
      <c r="S28" s="5" t="s">
        <v>12</v>
      </c>
      <c r="T28" s="4" t="s">
        <v>13</v>
      </c>
      <c r="U28" s="1"/>
      <c r="V28" s="2" t="s">
        <v>14</v>
      </c>
      <c r="W28" s="2" t="s">
        <v>15</v>
      </c>
      <c r="X28" s="2" t="s">
        <v>16</v>
      </c>
      <c r="Y28" s="2" t="s">
        <v>17</v>
      </c>
      <c r="Z28" s="2" t="s">
        <v>18</v>
      </c>
      <c r="AA28" s="2" t="s">
        <v>19</v>
      </c>
      <c r="AB28" s="2" t="s">
        <v>20</v>
      </c>
      <c r="AC28" s="1"/>
      <c r="AD28" s="6" t="s">
        <v>21</v>
      </c>
      <c r="AE28" s="7" t="s">
        <v>22</v>
      </c>
      <c r="AF28" s="7" t="s">
        <v>23</v>
      </c>
      <c r="AG28" s="1"/>
      <c r="AH28" s="6" t="s">
        <v>24</v>
      </c>
      <c r="AI28" s="8" t="s">
        <v>25</v>
      </c>
      <c r="AJ28" s="8" t="s">
        <v>26</v>
      </c>
    </row>
    <row r="29" spans="1:36" ht="30.75" customHeight="1" x14ac:dyDescent="0.3">
      <c r="A29" s="10"/>
      <c r="B29" s="11"/>
      <c r="C29" s="12"/>
      <c r="D29" s="12"/>
      <c r="E29" s="10"/>
      <c r="F29" s="13" t="s">
        <v>56</v>
      </c>
      <c r="G29" s="14" t="s">
        <v>27</v>
      </c>
      <c r="H29" s="15"/>
      <c r="I29" s="16">
        <f>IFERROR(V29*AD29,"-")</f>
        <v>0</v>
      </c>
      <c r="J29" s="10"/>
      <c r="K29" s="17"/>
      <c r="L29" s="12"/>
      <c r="M29" s="17"/>
      <c r="N29" s="17">
        <f t="shared" ref="N29:N38" si="46">IFERROR((H29*I29),"-")</f>
        <v>0</v>
      </c>
      <c r="O29" s="18"/>
      <c r="P29" s="17">
        <f t="shared" ref="P29:P38" si="47">IFERROR(N29*(1-O29),"-")</f>
        <v>0</v>
      </c>
      <c r="Q29" s="19"/>
      <c r="R29" s="17">
        <f t="shared" ref="R29:R38" si="48">IFERROR(P29*(1+Q29),"-")</f>
        <v>0</v>
      </c>
      <c r="S29" s="17">
        <f t="shared" ref="S29:S39" si="49">IFERROR(R29*1.22,"-")</f>
        <v>0</v>
      </c>
      <c r="T29" s="18" t="str">
        <f t="shared" ref="T29:T38" si="50">IFERROR(S29/$S$13,"-")</f>
        <v>-</v>
      </c>
      <c r="U29" s="10"/>
      <c r="V29" s="20"/>
      <c r="W29" s="16"/>
      <c r="X29" s="13" t="s">
        <v>29</v>
      </c>
      <c r="Y29" s="17" t="str">
        <f t="shared" ref="Y29:Y39" si="51">IFERROR(S29/V29*1000,"-")</f>
        <v>-</v>
      </c>
      <c r="Z29" s="17" t="str">
        <f t="shared" ref="Z29:Z39" si="52">IFERROR(S29/X29*1000,"-")</f>
        <v>-</v>
      </c>
      <c r="AA29" s="16"/>
      <c r="AB29" s="18" t="str">
        <f t="shared" ref="AB29:AB38" si="53">IFERROR(X29/AA29,"-")</f>
        <v>-</v>
      </c>
      <c r="AC29" s="10"/>
      <c r="AD29" s="19"/>
      <c r="AE29" s="13">
        <f t="shared" ref="AE29:AE38" si="54">IFERROR(ROUNDDOWN(V29*AD29,0),"-")</f>
        <v>0</v>
      </c>
      <c r="AF29" s="17" t="str">
        <f t="shared" ref="AF29:AF39" si="55">IFERROR(S29/AE29,"-")</f>
        <v>-</v>
      </c>
      <c r="AG29" s="10"/>
      <c r="AH29" s="19"/>
      <c r="AI29" s="13">
        <f>IF(G29="CPI",#REF!*AH29,IFERROR(ROUNDDOWN(AE29*AH29,0),"-"))</f>
        <v>0</v>
      </c>
      <c r="AJ29" s="17" t="str">
        <f t="shared" ref="AJ29:AJ39" si="56">IFERROR(S29/AI29,"-")</f>
        <v>-</v>
      </c>
    </row>
    <row r="30" spans="1:36" ht="30.75" customHeight="1" x14ac:dyDescent="0.3">
      <c r="A30" s="10"/>
      <c r="B30" s="11"/>
      <c r="C30" s="12"/>
      <c r="D30" s="12"/>
      <c r="E30" s="10"/>
      <c r="F30" s="13" t="s">
        <v>56</v>
      </c>
      <c r="G30" s="14" t="s">
        <v>27</v>
      </c>
      <c r="H30" s="15"/>
      <c r="I30" s="16">
        <f t="shared" ref="I30:I38" si="57">IFERROR(V30*AD30,"-")</f>
        <v>0</v>
      </c>
      <c r="J30" s="10"/>
      <c r="K30" s="17"/>
      <c r="L30" s="12"/>
      <c r="M30" s="17"/>
      <c r="N30" s="17">
        <f t="shared" si="46"/>
        <v>0</v>
      </c>
      <c r="O30" s="18"/>
      <c r="P30" s="17">
        <f t="shared" si="47"/>
        <v>0</v>
      </c>
      <c r="Q30" s="19"/>
      <c r="R30" s="17">
        <f t="shared" si="48"/>
        <v>0</v>
      </c>
      <c r="S30" s="17">
        <f t="shared" si="49"/>
        <v>0</v>
      </c>
      <c r="T30" s="18" t="str">
        <f t="shared" si="50"/>
        <v>-</v>
      </c>
      <c r="U30" s="10"/>
      <c r="V30" s="20"/>
      <c r="W30" s="16"/>
      <c r="X30" s="13" t="s">
        <v>29</v>
      </c>
      <c r="Y30" s="17" t="str">
        <f t="shared" si="51"/>
        <v>-</v>
      </c>
      <c r="Z30" s="17" t="str">
        <f t="shared" si="52"/>
        <v>-</v>
      </c>
      <c r="AA30" s="16"/>
      <c r="AB30" s="18" t="str">
        <f t="shared" si="53"/>
        <v>-</v>
      </c>
      <c r="AC30" s="10"/>
      <c r="AD30" s="19"/>
      <c r="AE30" s="13">
        <f t="shared" si="54"/>
        <v>0</v>
      </c>
      <c r="AF30" s="17" t="str">
        <f t="shared" si="55"/>
        <v>-</v>
      </c>
      <c r="AG30" s="10"/>
      <c r="AH30" s="19"/>
      <c r="AI30" s="13">
        <f>IF(G30="CPI",#REF!*AH30,IFERROR(ROUNDDOWN(AE30*AH30,0),"-"))</f>
        <v>0</v>
      </c>
      <c r="AJ30" s="17" t="str">
        <f t="shared" si="56"/>
        <v>-</v>
      </c>
    </row>
    <row r="31" spans="1:36" ht="30.75" customHeight="1" x14ac:dyDescent="0.3">
      <c r="A31" s="10"/>
      <c r="B31" s="11"/>
      <c r="C31" s="12"/>
      <c r="D31" s="12"/>
      <c r="E31" s="10"/>
      <c r="F31" s="13" t="s">
        <v>56</v>
      </c>
      <c r="G31" s="14" t="s">
        <v>27</v>
      </c>
      <c r="H31" s="15"/>
      <c r="I31" s="16">
        <f t="shared" ref="I31:I35" si="58">IFERROR(V31*AD31,"-")</f>
        <v>0</v>
      </c>
      <c r="J31" s="10"/>
      <c r="K31" s="17"/>
      <c r="L31" s="12"/>
      <c r="M31" s="17"/>
      <c r="N31" s="17">
        <f t="shared" ref="N31:N35" si="59">IFERROR((H31*I31),"-")</f>
        <v>0</v>
      </c>
      <c r="O31" s="18"/>
      <c r="P31" s="17">
        <f t="shared" ref="P31:P35" si="60">IFERROR(N31*(1-O31),"-")</f>
        <v>0</v>
      </c>
      <c r="Q31" s="19"/>
      <c r="R31" s="17">
        <f t="shared" ref="R31:R35" si="61">IFERROR(P31*(1+Q31),"-")</f>
        <v>0</v>
      </c>
      <c r="S31" s="17">
        <f t="shared" si="49"/>
        <v>0</v>
      </c>
      <c r="T31" s="18" t="str">
        <f t="shared" ref="T31:T35" si="62">IFERROR(S31/$S$13,"-")</f>
        <v>-</v>
      </c>
      <c r="U31" s="10"/>
      <c r="V31" s="20"/>
      <c r="W31" s="16"/>
      <c r="X31" s="13" t="s">
        <v>29</v>
      </c>
      <c r="Y31" s="17" t="str">
        <f t="shared" ref="Y31:Y35" si="63">IFERROR(S31/V31*1000,"-")</f>
        <v>-</v>
      </c>
      <c r="Z31" s="17" t="str">
        <f t="shared" ref="Z31:Z35" si="64">IFERROR(S31/X31*1000,"-")</f>
        <v>-</v>
      </c>
      <c r="AA31" s="16"/>
      <c r="AB31" s="18" t="str">
        <f t="shared" ref="AB31:AB35" si="65">IFERROR(X31/AA31,"-")</f>
        <v>-</v>
      </c>
      <c r="AC31" s="10"/>
      <c r="AD31" s="19"/>
      <c r="AE31" s="13">
        <f t="shared" ref="AE31:AE35" si="66">IFERROR(ROUNDDOWN(V31*AD31,0),"-")</f>
        <v>0</v>
      </c>
      <c r="AF31" s="17" t="str">
        <f t="shared" ref="AF31:AF35" si="67">IFERROR(S31/AE31,"-")</f>
        <v>-</v>
      </c>
      <c r="AG31" s="10"/>
      <c r="AH31" s="19"/>
      <c r="AI31" s="13">
        <f>IF(G31="CPI",#REF!*AH31,IFERROR(ROUNDDOWN(AE31*AH31,0),"-"))</f>
        <v>0</v>
      </c>
      <c r="AJ31" s="17" t="str">
        <f t="shared" ref="AJ31:AJ35" si="68">IFERROR(S31/AI31,"-")</f>
        <v>-</v>
      </c>
    </row>
    <row r="32" spans="1:36" ht="30.75" customHeight="1" x14ac:dyDescent="0.3">
      <c r="A32" s="10"/>
      <c r="B32" s="11"/>
      <c r="C32" s="12"/>
      <c r="D32" s="12"/>
      <c r="E32" s="10"/>
      <c r="F32" s="13" t="s">
        <v>56</v>
      </c>
      <c r="G32" s="14" t="s">
        <v>27</v>
      </c>
      <c r="H32" s="15"/>
      <c r="I32" s="16">
        <f t="shared" si="58"/>
        <v>0</v>
      </c>
      <c r="J32" s="10"/>
      <c r="K32" s="17"/>
      <c r="L32" s="12"/>
      <c r="M32" s="17"/>
      <c r="N32" s="17">
        <f t="shared" si="59"/>
        <v>0</v>
      </c>
      <c r="O32" s="18"/>
      <c r="P32" s="17">
        <f t="shared" si="60"/>
        <v>0</v>
      </c>
      <c r="Q32" s="19"/>
      <c r="R32" s="17">
        <f t="shared" si="61"/>
        <v>0</v>
      </c>
      <c r="S32" s="17">
        <f t="shared" si="49"/>
        <v>0</v>
      </c>
      <c r="T32" s="18" t="str">
        <f t="shared" si="62"/>
        <v>-</v>
      </c>
      <c r="U32" s="10"/>
      <c r="V32" s="20"/>
      <c r="W32" s="16"/>
      <c r="X32" s="13" t="s">
        <v>29</v>
      </c>
      <c r="Y32" s="17" t="str">
        <f t="shared" si="63"/>
        <v>-</v>
      </c>
      <c r="Z32" s="17" t="str">
        <f t="shared" si="64"/>
        <v>-</v>
      </c>
      <c r="AA32" s="16"/>
      <c r="AB32" s="18" t="str">
        <f t="shared" si="65"/>
        <v>-</v>
      </c>
      <c r="AC32" s="10"/>
      <c r="AD32" s="19"/>
      <c r="AE32" s="13">
        <f t="shared" si="66"/>
        <v>0</v>
      </c>
      <c r="AF32" s="17" t="str">
        <f t="shared" si="67"/>
        <v>-</v>
      </c>
      <c r="AG32" s="10"/>
      <c r="AH32" s="19"/>
      <c r="AI32" s="13">
        <f>IF(G32="CPI",#REF!*AH32,IFERROR(ROUNDDOWN(AE32*AH32,0),"-"))</f>
        <v>0</v>
      </c>
      <c r="AJ32" s="17" t="str">
        <f t="shared" si="68"/>
        <v>-</v>
      </c>
    </row>
    <row r="33" spans="1:36" ht="30.75" customHeight="1" x14ac:dyDescent="0.3">
      <c r="A33" s="10"/>
      <c r="B33" s="11"/>
      <c r="C33" s="12"/>
      <c r="D33" s="12"/>
      <c r="E33" s="10"/>
      <c r="F33" s="13" t="s">
        <v>56</v>
      </c>
      <c r="G33" s="14" t="s">
        <v>27</v>
      </c>
      <c r="H33" s="15"/>
      <c r="I33" s="16">
        <f t="shared" si="58"/>
        <v>0</v>
      </c>
      <c r="J33" s="10"/>
      <c r="K33" s="17"/>
      <c r="L33" s="12"/>
      <c r="M33" s="17"/>
      <c r="N33" s="17">
        <f t="shared" si="59"/>
        <v>0</v>
      </c>
      <c r="O33" s="18"/>
      <c r="P33" s="17">
        <f t="shared" si="60"/>
        <v>0</v>
      </c>
      <c r="Q33" s="19"/>
      <c r="R33" s="17">
        <f t="shared" si="61"/>
        <v>0</v>
      </c>
      <c r="S33" s="17">
        <f t="shared" si="49"/>
        <v>0</v>
      </c>
      <c r="T33" s="18" t="str">
        <f t="shared" si="62"/>
        <v>-</v>
      </c>
      <c r="U33" s="10"/>
      <c r="V33" s="20"/>
      <c r="W33" s="16"/>
      <c r="X33" s="13" t="s">
        <v>29</v>
      </c>
      <c r="Y33" s="17" t="str">
        <f t="shared" si="63"/>
        <v>-</v>
      </c>
      <c r="Z33" s="17" t="str">
        <f t="shared" si="64"/>
        <v>-</v>
      </c>
      <c r="AA33" s="16"/>
      <c r="AB33" s="18" t="str">
        <f t="shared" si="65"/>
        <v>-</v>
      </c>
      <c r="AC33" s="10"/>
      <c r="AD33" s="19"/>
      <c r="AE33" s="13">
        <f t="shared" si="66"/>
        <v>0</v>
      </c>
      <c r="AF33" s="17" t="str">
        <f t="shared" si="67"/>
        <v>-</v>
      </c>
      <c r="AG33" s="10"/>
      <c r="AH33" s="19"/>
      <c r="AI33" s="13">
        <f>IF(G33="CPI",#REF!*AH33,IFERROR(ROUNDDOWN(AE33*AH33,0),"-"))</f>
        <v>0</v>
      </c>
      <c r="AJ33" s="17" t="str">
        <f t="shared" si="68"/>
        <v>-</v>
      </c>
    </row>
    <row r="34" spans="1:36" ht="30.75" customHeight="1" x14ac:dyDescent="0.3">
      <c r="A34" s="10"/>
      <c r="B34" s="11"/>
      <c r="C34" s="12"/>
      <c r="D34" s="12"/>
      <c r="E34" s="10"/>
      <c r="F34" s="13" t="s">
        <v>56</v>
      </c>
      <c r="G34" s="14" t="s">
        <v>27</v>
      </c>
      <c r="H34" s="15"/>
      <c r="I34" s="16">
        <f t="shared" si="58"/>
        <v>0</v>
      </c>
      <c r="J34" s="10"/>
      <c r="K34" s="17"/>
      <c r="L34" s="12"/>
      <c r="M34" s="17"/>
      <c r="N34" s="17">
        <f t="shared" si="59"/>
        <v>0</v>
      </c>
      <c r="O34" s="18"/>
      <c r="P34" s="17">
        <f t="shared" si="60"/>
        <v>0</v>
      </c>
      <c r="Q34" s="19"/>
      <c r="R34" s="17">
        <f t="shared" si="61"/>
        <v>0</v>
      </c>
      <c r="S34" s="17">
        <f t="shared" si="49"/>
        <v>0</v>
      </c>
      <c r="T34" s="18" t="str">
        <f t="shared" si="62"/>
        <v>-</v>
      </c>
      <c r="U34" s="10"/>
      <c r="V34" s="20"/>
      <c r="W34" s="16"/>
      <c r="X34" s="13" t="s">
        <v>29</v>
      </c>
      <c r="Y34" s="17" t="str">
        <f t="shared" si="63"/>
        <v>-</v>
      </c>
      <c r="Z34" s="17" t="str">
        <f t="shared" si="64"/>
        <v>-</v>
      </c>
      <c r="AA34" s="16"/>
      <c r="AB34" s="18" t="str">
        <f t="shared" si="65"/>
        <v>-</v>
      </c>
      <c r="AC34" s="10"/>
      <c r="AD34" s="19"/>
      <c r="AE34" s="13">
        <f t="shared" si="66"/>
        <v>0</v>
      </c>
      <c r="AF34" s="17" t="str">
        <f t="shared" si="67"/>
        <v>-</v>
      </c>
      <c r="AG34" s="10"/>
      <c r="AH34" s="19"/>
      <c r="AI34" s="13">
        <f>IF(G34="CPI",#REF!*AH34,IFERROR(ROUNDDOWN(AE34*AH34,0),"-"))</f>
        <v>0</v>
      </c>
      <c r="AJ34" s="17" t="str">
        <f t="shared" si="68"/>
        <v>-</v>
      </c>
    </row>
    <row r="35" spans="1:36" ht="30.75" customHeight="1" x14ac:dyDescent="0.3">
      <c r="A35" s="10"/>
      <c r="B35" s="11"/>
      <c r="C35" s="12"/>
      <c r="D35" s="12"/>
      <c r="E35" s="10"/>
      <c r="F35" s="13" t="s">
        <v>56</v>
      </c>
      <c r="G35" s="14" t="s">
        <v>27</v>
      </c>
      <c r="H35" s="15"/>
      <c r="I35" s="16">
        <f t="shared" si="58"/>
        <v>0</v>
      </c>
      <c r="J35" s="10"/>
      <c r="K35" s="17"/>
      <c r="L35" s="12"/>
      <c r="M35" s="17"/>
      <c r="N35" s="17">
        <f t="shared" si="59"/>
        <v>0</v>
      </c>
      <c r="O35" s="18"/>
      <c r="P35" s="17">
        <f t="shared" si="60"/>
        <v>0</v>
      </c>
      <c r="Q35" s="19"/>
      <c r="R35" s="17">
        <f t="shared" si="61"/>
        <v>0</v>
      </c>
      <c r="S35" s="17">
        <f t="shared" si="49"/>
        <v>0</v>
      </c>
      <c r="T35" s="18" t="str">
        <f t="shared" si="62"/>
        <v>-</v>
      </c>
      <c r="U35" s="10"/>
      <c r="V35" s="20"/>
      <c r="W35" s="16"/>
      <c r="X35" s="13" t="s">
        <v>29</v>
      </c>
      <c r="Y35" s="17" t="str">
        <f t="shared" si="63"/>
        <v>-</v>
      </c>
      <c r="Z35" s="17" t="str">
        <f t="shared" si="64"/>
        <v>-</v>
      </c>
      <c r="AA35" s="16"/>
      <c r="AB35" s="18" t="str">
        <f t="shared" si="65"/>
        <v>-</v>
      </c>
      <c r="AC35" s="10"/>
      <c r="AD35" s="19"/>
      <c r="AE35" s="13">
        <f t="shared" si="66"/>
        <v>0</v>
      </c>
      <c r="AF35" s="17" t="str">
        <f t="shared" si="67"/>
        <v>-</v>
      </c>
      <c r="AG35" s="10"/>
      <c r="AH35" s="19"/>
      <c r="AI35" s="13">
        <f>IF(G35="CPI",#REF!*AH35,IFERROR(ROUNDDOWN(AE35*AH35,0),"-"))</f>
        <v>0</v>
      </c>
      <c r="AJ35" s="17" t="str">
        <f t="shared" si="68"/>
        <v>-</v>
      </c>
    </row>
    <row r="36" spans="1:36" ht="30.75" customHeight="1" x14ac:dyDescent="0.3">
      <c r="A36" s="10"/>
      <c r="B36" s="11"/>
      <c r="C36" s="12"/>
      <c r="D36" s="12"/>
      <c r="E36" s="10"/>
      <c r="F36" s="13" t="s">
        <v>56</v>
      </c>
      <c r="G36" s="14" t="s">
        <v>27</v>
      </c>
      <c r="H36" s="15"/>
      <c r="I36" s="16">
        <f t="shared" si="57"/>
        <v>0</v>
      </c>
      <c r="J36" s="10"/>
      <c r="K36" s="17"/>
      <c r="L36" s="12"/>
      <c r="M36" s="17"/>
      <c r="N36" s="17">
        <f t="shared" si="46"/>
        <v>0</v>
      </c>
      <c r="O36" s="18"/>
      <c r="P36" s="17">
        <f t="shared" si="47"/>
        <v>0</v>
      </c>
      <c r="Q36" s="19"/>
      <c r="R36" s="17">
        <f t="shared" si="48"/>
        <v>0</v>
      </c>
      <c r="S36" s="17">
        <f t="shared" si="49"/>
        <v>0</v>
      </c>
      <c r="T36" s="18" t="str">
        <f t="shared" si="50"/>
        <v>-</v>
      </c>
      <c r="U36" s="10"/>
      <c r="V36" s="20"/>
      <c r="W36" s="16"/>
      <c r="X36" s="13" t="s">
        <v>29</v>
      </c>
      <c r="Y36" s="17" t="str">
        <f t="shared" si="51"/>
        <v>-</v>
      </c>
      <c r="Z36" s="17" t="str">
        <f t="shared" si="52"/>
        <v>-</v>
      </c>
      <c r="AA36" s="16"/>
      <c r="AB36" s="18" t="str">
        <f t="shared" si="53"/>
        <v>-</v>
      </c>
      <c r="AC36" s="10"/>
      <c r="AD36" s="19"/>
      <c r="AE36" s="13">
        <f t="shared" si="54"/>
        <v>0</v>
      </c>
      <c r="AF36" s="17" t="str">
        <f t="shared" si="55"/>
        <v>-</v>
      </c>
      <c r="AG36" s="10"/>
      <c r="AH36" s="19"/>
      <c r="AI36" s="13">
        <f>IF(G36="CPI",#REF!*AH36,IFERROR(ROUNDDOWN(AE36*AH36,0),"-"))</f>
        <v>0</v>
      </c>
      <c r="AJ36" s="17" t="str">
        <f t="shared" si="56"/>
        <v>-</v>
      </c>
    </row>
    <row r="37" spans="1:36" ht="30.75" customHeight="1" x14ac:dyDescent="0.3">
      <c r="A37" s="10"/>
      <c r="B37" s="11"/>
      <c r="C37" s="12"/>
      <c r="D37" s="12"/>
      <c r="E37" s="10"/>
      <c r="F37" s="13" t="s">
        <v>56</v>
      </c>
      <c r="G37" s="14" t="s">
        <v>27</v>
      </c>
      <c r="H37" s="15"/>
      <c r="I37" s="16">
        <f t="shared" si="57"/>
        <v>0</v>
      </c>
      <c r="J37" s="10"/>
      <c r="K37" s="17"/>
      <c r="L37" s="12"/>
      <c r="M37" s="17"/>
      <c r="N37" s="17">
        <f t="shared" si="46"/>
        <v>0</v>
      </c>
      <c r="O37" s="18"/>
      <c r="P37" s="17">
        <f t="shared" si="47"/>
        <v>0</v>
      </c>
      <c r="Q37" s="19"/>
      <c r="R37" s="17">
        <f t="shared" si="48"/>
        <v>0</v>
      </c>
      <c r="S37" s="17">
        <f t="shared" si="49"/>
        <v>0</v>
      </c>
      <c r="T37" s="18" t="str">
        <f t="shared" si="50"/>
        <v>-</v>
      </c>
      <c r="U37" s="10"/>
      <c r="V37" s="20"/>
      <c r="W37" s="16"/>
      <c r="X37" s="13" t="s">
        <v>29</v>
      </c>
      <c r="Y37" s="17" t="str">
        <f t="shared" si="51"/>
        <v>-</v>
      </c>
      <c r="Z37" s="17" t="str">
        <f t="shared" si="52"/>
        <v>-</v>
      </c>
      <c r="AA37" s="16"/>
      <c r="AB37" s="18" t="str">
        <f t="shared" si="53"/>
        <v>-</v>
      </c>
      <c r="AC37" s="10"/>
      <c r="AD37" s="19"/>
      <c r="AE37" s="13">
        <f t="shared" si="54"/>
        <v>0</v>
      </c>
      <c r="AF37" s="17" t="str">
        <f t="shared" si="55"/>
        <v>-</v>
      </c>
      <c r="AG37" s="10"/>
      <c r="AH37" s="19"/>
      <c r="AI37" s="13">
        <f>IF(G37="CPI",#REF!*AH37,IFERROR(ROUNDDOWN(AE37*AH37,0),"-"))</f>
        <v>0</v>
      </c>
      <c r="AJ37" s="17" t="str">
        <f t="shared" si="56"/>
        <v>-</v>
      </c>
    </row>
    <row r="38" spans="1:36" ht="30.75" customHeight="1" x14ac:dyDescent="0.3">
      <c r="A38" s="10"/>
      <c r="B38" s="11"/>
      <c r="C38" s="12"/>
      <c r="D38" s="12"/>
      <c r="E38" s="10"/>
      <c r="F38" s="13" t="s">
        <v>56</v>
      </c>
      <c r="G38" s="14" t="s">
        <v>27</v>
      </c>
      <c r="H38" s="15"/>
      <c r="I38" s="16">
        <f t="shared" si="57"/>
        <v>0</v>
      </c>
      <c r="J38" s="10"/>
      <c r="K38" s="17"/>
      <c r="L38" s="12"/>
      <c r="M38" s="17"/>
      <c r="N38" s="17">
        <f t="shared" si="46"/>
        <v>0</v>
      </c>
      <c r="O38" s="18"/>
      <c r="P38" s="17">
        <f t="shared" si="47"/>
        <v>0</v>
      </c>
      <c r="Q38" s="19"/>
      <c r="R38" s="17">
        <f t="shared" si="48"/>
        <v>0</v>
      </c>
      <c r="S38" s="17">
        <f t="shared" si="49"/>
        <v>0</v>
      </c>
      <c r="T38" s="18" t="str">
        <f t="shared" si="50"/>
        <v>-</v>
      </c>
      <c r="U38" s="10"/>
      <c r="V38" s="20"/>
      <c r="W38" s="16"/>
      <c r="X38" s="13" t="s">
        <v>29</v>
      </c>
      <c r="Y38" s="17" t="str">
        <f t="shared" si="51"/>
        <v>-</v>
      </c>
      <c r="Z38" s="17" t="str">
        <f t="shared" si="52"/>
        <v>-</v>
      </c>
      <c r="AA38" s="16"/>
      <c r="AB38" s="18" t="str">
        <f t="shared" si="53"/>
        <v>-</v>
      </c>
      <c r="AC38" s="10"/>
      <c r="AD38" s="19"/>
      <c r="AE38" s="13">
        <f t="shared" si="54"/>
        <v>0</v>
      </c>
      <c r="AF38" s="17" t="str">
        <f t="shared" si="55"/>
        <v>-</v>
      </c>
      <c r="AG38" s="10"/>
      <c r="AH38" s="19"/>
      <c r="AI38" s="13">
        <f>IF(G38="CPI",#REF!*AH38,IFERROR(ROUNDDOWN(AE38*AH38,0),"-"))</f>
        <v>0</v>
      </c>
      <c r="AJ38" s="17" t="str">
        <f t="shared" si="56"/>
        <v>-</v>
      </c>
    </row>
    <row r="39" spans="1:36" ht="17.25" customHeight="1" x14ac:dyDescent="0.3">
      <c r="A39" s="22"/>
      <c r="B39" s="6" t="s">
        <v>28</v>
      </c>
      <c r="C39" s="9" t="s">
        <v>29</v>
      </c>
      <c r="D39" s="9" t="s">
        <v>29</v>
      </c>
      <c r="E39" s="22"/>
      <c r="F39" s="9" t="s">
        <v>29</v>
      </c>
      <c r="G39" s="6" t="s">
        <v>29</v>
      </c>
      <c r="H39" s="5" t="str">
        <f>IFERROR(N39/I39,"-")</f>
        <v>-</v>
      </c>
      <c r="I39" s="25">
        <f>IFERROR(SUM(I29:I38),"-")</f>
        <v>0</v>
      </c>
      <c r="J39" s="22"/>
      <c r="K39" s="23"/>
      <c r="L39" s="6"/>
      <c r="M39" s="23"/>
      <c r="N39" s="23">
        <f>IFERROR(SUM(N29:N38),"-")</f>
        <v>0</v>
      </c>
      <c r="O39" s="6" t="s">
        <v>29</v>
      </c>
      <c r="P39" s="23">
        <f>IFERROR(SUM(P29:P38),"-")</f>
        <v>0</v>
      </c>
      <c r="Q39" s="9" t="s">
        <v>29</v>
      </c>
      <c r="R39" s="23">
        <f>IFERROR(SUM(R29:R38),"-")</f>
        <v>0</v>
      </c>
      <c r="S39" s="23">
        <f t="shared" si="49"/>
        <v>0</v>
      </c>
      <c r="T39" s="24">
        <v>0</v>
      </c>
      <c r="U39" s="22"/>
      <c r="V39" s="25">
        <f>IFERROR(SUM(V29:V38),"-")</f>
        <v>0</v>
      </c>
      <c r="W39" s="25" t="s">
        <v>29</v>
      </c>
      <c r="X39" s="25" t="s">
        <v>29</v>
      </c>
      <c r="Y39" s="23" t="str">
        <f t="shared" si="51"/>
        <v>-</v>
      </c>
      <c r="Z39" s="23" t="str">
        <f t="shared" si="52"/>
        <v>-</v>
      </c>
      <c r="AA39" s="6" t="s">
        <v>29</v>
      </c>
      <c r="AB39" s="6" t="s">
        <v>29</v>
      </c>
      <c r="AC39" s="22"/>
      <c r="AD39" s="24" t="str">
        <f>IFERROR(AE39/V39,"-")</f>
        <v>-</v>
      </c>
      <c r="AE39" s="25">
        <f>IFERROR(SUM(AE29:AE38),"-")</f>
        <v>0</v>
      </c>
      <c r="AF39" s="23" t="str">
        <f t="shared" si="55"/>
        <v>-</v>
      </c>
      <c r="AG39" s="22"/>
      <c r="AH39" s="24" t="str">
        <f>IFERROR(AI39/AE39,"-")</f>
        <v>-</v>
      </c>
      <c r="AI39" s="25">
        <f>IFERROR(SUM(AI29:AI38),"-")</f>
        <v>0</v>
      </c>
      <c r="AJ39" s="23" t="str">
        <f t="shared" si="56"/>
        <v>-</v>
      </c>
    </row>
    <row r="40" spans="1:36" ht="15.75" customHeight="1" x14ac:dyDescent="0.3">
      <c r="A40" s="26"/>
      <c r="B40" s="27"/>
      <c r="C40" s="27"/>
      <c r="D40" s="27"/>
      <c r="E40" s="26"/>
      <c r="F40" s="27"/>
      <c r="G40" s="27"/>
      <c r="H40" s="27"/>
      <c r="I40" s="27"/>
      <c r="J40" s="26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6"/>
      <c r="V40" s="27"/>
      <c r="W40" s="27"/>
      <c r="X40" s="27"/>
      <c r="Y40" s="27"/>
      <c r="Z40" s="27"/>
      <c r="AA40" s="27"/>
      <c r="AB40" s="27"/>
      <c r="AC40" s="26"/>
      <c r="AD40" s="27"/>
      <c r="AE40" s="27"/>
      <c r="AF40" s="27"/>
      <c r="AG40" s="26"/>
      <c r="AH40" s="27"/>
      <c r="AI40" s="27"/>
      <c r="AJ40" s="27"/>
    </row>
    <row r="41" spans="1:36" ht="51.75" customHeight="1" x14ac:dyDescent="0.3">
      <c r="A41" s="1"/>
      <c r="B41" s="2" t="s">
        <v>0</v>
      </c>
      <c r="C41" s="2" t="s">
        <v>1</v>
      </c>
      <c r="D41" s="2" t="s">
        <v>2</v>
      </c>
      <c r="E41" s="1"/>
      <c r="F41" s="3" t="s">
        <v>3</v>
      </c>
      <c r="G41" s="2" t="s">
        <v>50</v>
      </c>
      <c r="H41" s="2" t="s">
        <v>51</v>
      </c>
      <c r="I41" s="2" t="s">
        <v>52</v>
      </c>
      <c r="J41" s="1"/>
      <c r="K41" s="39" t="s">
        <v>68</v>
      </c>
      <c r="L41" s="41" t="s">
        <v>69</v>
      </c>
      <c r="M41" s="39" t="s">
        <v>70</v>
      </c>
      <c r="N41" s="4" t="s">
        <v>7</v>
      </c>
      <c r="O41" s="3" t="s">
        <v>8</v>
      </c>
      <c r="P41" s="4" t="s">
        <v>9</v>
      </c>
      <c r="Q41" s="3" t="s">
        <v>10</v>
      </c>
      <c r="R41" s="5" t="s">
        <v>11</v>
      </c>
      <c r="S41" s="5" t="s">
        <v>12</v>
      </c>
      <c r="T41" s="4" t="s">
        <v>13</v>
      </c>
      <c r="U41" s="1"/>
      <c r="V41" s="2" t="s">
        <v>14</v>
      </c>
      <c r="W41" s="2" t="s">
        <v>15</v>
      </c>
      <c r="X41" s="2" t="s">
        <v>16</v>
      </c>
      <c r="Y41" s="2" t="s">
        <v>17</v>
      </c>
      <c r="Z41" s="2" t="s">
        <v>18</v>
      </c>
      <c r="AA41" s="2" t="s">
        <v>19</v>
      </c>
      <c r="AB41" s="2" t="s">
        <v>20</v>
      </c>
      <c r="AC41" s="1"/>
      <c r="AD41" s="6" t="s">
        <v>21</v>
      </c>
      <c r="AE41" s="7" t="s">
        <v>22</v>
      </c>
      <c r="AF41" s="7" t="s">
        <v>23</v>
      </c>
      <c r="AG41" s="1"/>
      <c r="AH41" s="6" t="s">
        <v>24</v>
      </c>
      <c r="AI41" s="8" t="s">
        <v>25</v>
      </c>
      <c r="AJ41" s="8" t="s">
        <v>26</v>
      </c>
    </row>
    <row r="42" spans="1:36" ht="30.75" customHeight="1" x14ac:dyDescent="0.3">
      <c r="A42" s="10"/>
      <c r="B42" s="11"/>
      <c r="C42" s="12"/>
      <c r="D42" s="12"/>
      <c r="E42" s="10"/>
      <c r="F42" s="13" t="s">
        <v>57</v>
      </c>
      <c r="G42" s="14" t="s">
        <v>27</v>
      </c>
      <c r="H42" s="15"/>
      <c r="I42" s="16">
        <f>IFERROR(V42*AD42,"-")</f>
        <v>0</v>
      </c>
      <c r="J42" s="10"/>
      <c r="K42" s="17"/>
      <c r="L42" s="12"/>
      <c r="M42" s="17"/>
      <c r="N42" s="17">
        <f t="shared" ref="N42:N51" si="69">IFERROR((H42*I42),"-")</f>
        <v>0</v>
      </c>
      <c r="O42" s="18"/>
      <c r="P42" s="17">
        <f t="shared" ref="P42:P51" si="70">IFERROR(N42*(1-O42),"-")</f>
        <v>0</v>
      </c>
      <c r="Q42" s="19"/>
      <c r="R42" s="17">
        <f t="shared" ref="R42:R51" si="71">IFERROR(P42*(1+Q42),"-")</f>
        <v>0</v>
      </c>
      <c r="S42" s="17">
        <f t="shared" ref="S42:S52" si="72">IFERROR(R42*1.22,"-")</f>
        <v>0</v>
      </c>
      <c r="T42" s="18" t="str">
        <f t="shared" ref="T42:T51" si="73">IFERROR(S42/$S$13,"-")</f>
        <v>-</v>
      </c>
      <c r="U42" s="10"/>
      <c r="V42" s="20"/>
      <c r="W42" s="16"/>
      <c r="X42" s="13" t="s">
        <v>29</v>
      </c>
      <c r="Y42" s="17" t="str">
        <f t="shared" ref="Y42:Y52" si="74">IFERROR(S42/V42*1000,"-")</f>
        <v>-</v>
      </c>
      <c r="Z42" s="17" t="str">
        <f t="shared" ref="Z42:Z52" si="75">IFERROR(S42/X42*1000,"-")</f>
        <v>-</v>
      </c>
      <c r="AA42" s="16"/>
      <c r="AB42" s="18" t="str">
        <f t="shared" ref="AB42:AB51" si="76">IFERROR(X42/AA42,"-")</f>
        <v>-</v>
      </c>
      <c r="AC42" s="10"/>
      <c r="AD42" s="19"/>
      <c r="AE42" s="13">
        <f t="shared" ref="AE42:AE51" si="77">IFERROR(ROUNDDOWN(V42*AD42,0),"-")</f>
        <v>0</v>
      </c>
      <c r="AF42" s="17" t="str">
        <f t="shared" ref="AF42:AF52" si="78">IFERROR(S42/AE42,"-")</f>
        <v>-</v>
      </c>
      <c r="AG42" s="10"/>
      <c r="AH42" s="19"/>
      <c r="AI42" s="13">
        <f>IF(G42="CPI",#REF!*AH42,IFERROR(ROUNDDOWN(AE42*AH42,0),"-"))</f>
        <v>0</v>
      </c>
      <c r="AJ42" s="17" t="str">
        <f t="shared" ref="AJ42:AJ52" si="79">IFERROR(S42/AI42,"-")</f>
        <v>-</v>
      </c>
    </row>
    <row r="43" spans="1:36" ht="30.75" customHeight="1" x14ac:dyDescent="0.3">
      <c r="A43" s="10"/>
      <c r="B43" s="11"/>
      <c r="C43" s="12"/>
      <c r="D43" s="12"/>
      <c r="E43" s="10"/>
      <c r="F43" s="13" t="s">
        <v>57</v>
      </c>
      <c r="G43" s="14" t="s">
        <v>27</v>
      </c>
      <c r="H43" s="15"/>
      <c r="I43" s="16">
        <f t="shared" ref="I43:I47" si="80">IFERROR(V43*AD43,"-")</f>
        <v>0</v>
      </c>
      <c r="J43" s="10"/>
      <c r="K43" s="17"/>
      <c r="L43" s="12"/>
      <c r="M43" s="17"/>
      <c r="N43" s="17">
        <f t="shared" ref="N43:N47" si="81">IFERROR((H43*I43),"-")</f>
        <v>0</v>
      </c>
      <c r="O43" s="18"/>
      <c r="P43" s="17">
        <f t="shared" ref="P43:P47" si="82">IFERROR(N43*(1-O43),"-")</f>
        <v>0</v>
      </c>
      <c r="Q43" s="19"/>
      <c r="R43" s="17">
        <f t="shared" ref="R43:R47" si="83">IFERROR(P43*(1+Q43),"-")</f>
        <v>0</v>
      </c>
      <c r="S43" s="17">
        <f t="shared" si="72"/>
        <v>0</v>
      </c>
      <c r="T43" s="18" t="str">
        <f t="shared" ref="T43:T47" si="84">IFERROR(S43/$S$13,"-")</f>
        <v>-</v>
      </c>
      <c r="U43" s="10"/>
      <c r="V43" s="20"/>
      <c r="W43" s="16"/>
      <c r="X43" s="13" t="s">
        <v>29</v>
      </c>
      <c r="Y43" s="17" t="str">
        <f t="shared" ref="Y43:Y47" si="85">IFERROR(S43/V43*1000,"-")</f>
        <v>-</v>
      </c>
      <c r="Z43" s="17" t="str">
        <f t="shared" ref="Z43:Z47" si="86">IFERROR(S43/X43*1000,"-")</f>
        <v>-</v>
      </c>
      <c r="AA43" s="16"/>
      <c r="AB43" s="18" t="str">
        <f t="shared" ref="AB43:AB47" si="87">IFERROR(X43/AA43,"-")</f>
        <v>-</v>
      </c>
      <c r="AC43" s="10"/>
      <c r="AD43" s="19"/>
      <c r="AE43" s="13">
        <f t="shared" ref="AE43:AE47" si="88">IFERROR(ROUNDDOWN(V43*AD43,0),"-")</f>
        <v>0</v>
      </c>
      <c r="AF43" s="17" t="str">
        <f t="shared" ref="AF43:AF47" si="89">IFERROR(S43/AE43,"-")</f>
        <v>-</v>
      </c>
      <c r="AG43" s="10"/>
      <c r="AH43" s="19"/>
      <c r="AI43" s="13">
        <f>IF(G43="CPI",#REF!*AH43,IFERROR(ROUNDDOWN(AE43*AH43,0),"-"))</f>
        <v>0</v>
      </c>
      <c r="AJ43" s="17" t="str">
        <f t="shared" ref="AJ43:AJ47" si="90">IFERROR(S43/AI43,"-")</f>
        <v>-</v>
      </c>
    </row>
    <row r="44" spans="1:36" ht="30.75" customHeight="1" x14ac:dyDescent="0.3">
      <c r="A44" s="10"/>
      <c r="B44" s="11"/>
      <c r="C44" s="12"/>
      <c r="D44" s="12"/>
      <c r="E44" s="10"/>
      <c r="F44" s="13" t="s">
        <v>57</v>
      </c>
      <c r="G44" s="14" t="s">
        <v>27</v>
      </c>
      <c r="H44" s="15"/>
      <c r="I44" s="16">
        <f t="shared" si="80"/>
        <v>0</v>
      </c>
      <c r="J44" s="10"/>
      <c r="K44" s="17"/>
      <c r="L44" s="12"/>
      <c r="M44" s="17"/>
      <c r="N44" s="17">
        <f t="shared" si="81"/>
        <v>0</v>
      </c>
      <c r="O44" s="18"/>
      <c r="P44" s="17">
        <f t="shared" si="82"/>
        <v>0</v>
      </c>
      <c r="Q44" s="19"/>
      <c r="R44" s="17">
        <f t="shared" si="83"/>
        <v>0</v>
      </c>
      <c r="S44" s="17">
        <f t="shared" si="72"/>
        <v>0</v>
      </c>
      <c r="T44" s="18" t="str">
        <f t="shared" si="84"/>
        <v>-</v>
      </c>
      <c r="U44" s="10"/>
      <c r="V44" s="20"/>
      <c r="W44" s="16"/>
      <c r="X44" s="13" t="s">
        <v>29</v>
      </c>
      <c r="Y44" s="17" t="str">
        <f t="shared" si="85"/>
        <v>-</v>
      </c>
      <c r="Z44" s="17" t="str">
        <f t="shared" si="86"/>
        <v>-</v>
      </c>
      <c r="AA44" s="16"/>
      <c r="AB44" s="18" t="str">
        <f t="shared" si="87"/>
        <v>-</v>
      </c>
      <c r="AC44" s="10"/>
      <c r="AD44" s="19"/>
      <c r="AE44" s="13">
        <f t="shared" si="88"/>
        <v>0</v>
      </c>
      <c r="AF44" s="17" t="str">
        <f t="shared" si="89"/>
        <v>-</v>
      </c>
      <c r="AG44" s="10"/>
      <c r="AH44" s="19"/>
      <c r="AI44" s="13">
        <f>IF(G44="CPI",#REF!*AH44,IFERROR(ROUNDDOWN(AE44*AH44,0),"-"))</f>
        <v>0</v>
      </c>
      <c r="AJ44" s="17" t="str">
        <f t="shared" si="90"/>
        <v>-</v>
      </c>
    </row>
    <row r="45" spans="1:36" ht="30.75" customHeight="1" x14ac:dyDescent="0.3">
      <c r="A45" s="10"/>
      <c r="B45" s="11"/>
      <c r="C45" s="12"/>
      <c r="D45" s="12"/>
      <c r="E45" s="10"/>
      <c r="F45" s="13" t="s">
        <v>57</v>
      </c>
      <c r="G45" s="14" t="s">
        <v>27</v>
      </c>
      <c r="H45" s="15"/>
      <c r="I45" s="16">
        <f t="shared" si="80"/>
        <v>0</v>
      </c>
      <c r="J45" s="10"/>
      <c r="K45" s="17"/>
      <c r="L45" s="12"/>
      <c r="M45" s="17"/>
      <c r="N45" s="17">
        <f t="shared" si="81"/>
        <v>0</v>
      </c>
      <c r="O45" s="18"/>
      <c r="P45" s="17">
        <f t="shared" si="82"/>
        <v>0</v>
      </c>
      <c r="Q45" s="19"/>
      <c r="R45" s="17">
        <f t="shared" si="83"/>
        <v>0</v>
      </c>
      <c r="S45" s="17">
        <f t="shared" si="72"/>
        <v>0</v>
      </c>
      <c r="T45" s="18" t="str">
        <f t="shared" si="84"/>
        <v>-</v>
      </c>
      <c r="U45" s="10"/>
      <c r="V45" s="20"/>
      <c r="W45" s="16"/>
      <c r="X45" s="13" t="s">
        <v>29</v>
      </c>
      <c r="Y45" s="17" t="str">
        <f t="shared" si="85"/>
        <v>-</v>
      </c>
      <c r="Z45" s="17" t="str">
        <f t="shared" si="86"/>
        <v>-</v>
      </c>
      <c r="AA45" s="16"/>
      <c r="AB45" s="18" t="str">
        <f t="shared" si="87"/>
        <v>-</v>
      </c>
      <c r="AC45" s="10"/>
      <c r="AD45" s="19"/>
      <c r="AE45" s="13">
        <f t="shared" si="88"/>
        <v>0</v>
      </c>
      <c r="AF45" s="17" t="str">
        <f t="shared" si="89"/>
        <v>-</v>
      </c>
      <c r="AG45" s="10"/>
      <c r="AH45" s="19"/>
      <c r="AI45" s="13">
        <f>IF(G45="CPI",#REF!*AH45,IFERROR(ROUNDDOWN(AE45*AH45,0),"-"))</f>
        <v>0</v>
      </c>
      <c r="AJ45" s="17" t="str">
        <f t="shared" si="90"/>
        <v>-</v>
      </c>
    </row>
    <row r="46" spans="1:36" ht="30.75" customHeight="1" x14ac:dyDescent="0.3">
      <c r="A46" s="10"/>
      <c r="B46" s="11"/>
      <c r="C46" s="12"/>
      <c r="D46" s="12"/>
      <c r="E46" s="10"/>
      <c r="F46" s="13" t="s">
        <v>57</v>
      </c>
      <c r="G46" s="14" t="s">
        <v>27</v>
      </c>
      <c r="H46" s="15"/>
      <c r="I46" s="16">
        <f t="shared" si="80"/>
        <v>0</v>
      </c>
      <c r="J46" s="10"/>
      <c r="K46" s="17"/>
      <c r="L46" s="12"/>
      <c r="M46" s="17"/>
      <c r="N46" s="17">
        <f t="shared" si="81"/>
        <v>0</v>
      </c>
      <c r="O46" s="18"/>
      <c r="P46" s="17">
        <f t="shared" si="82"/>
        <v>0</v>
      </c>
      <c r="Q46" s="19"/>
      <c r="R46" s="17">
        <f t="shared" si="83"/>
        <v>0</v>
      </c>
      <c r="S46" s="17">
        <f t="shared" si="72"/>
        <v>0</v>
      </c>
      <c r="T46" s="18" t="str">
        <f t="shared" si="84"/>
        <v>-</v>
      </c>
      <c r="U46" s="10"/>
      <c r="V46" s="20"/>
      <c r="W46" s="16"/>
      <c r="X46" s="13" t="s">
        <v>29</v>
      </c>
      <c r="Y46" s="17" t="str">
        <f t="shared" si="85"/>
        <v>-</v>
      </c>
      <c r="Z46" s="17" t="str">
        <f t="shared" si="86"/>
        <v>-</v>
      </c>
      <c r="AA46" s="16"/>
      <c r="AB46" s="18" t="str">
        <f t="shared" si="87"/>
        <v>-</v>
      </c>
      <c r="AC46" s="10"/>
      <c r="AD46" s="19"/>
      <c r="AE46" s="13">
        <f t="shared" si="88"/>
        <v>0</v>
      </c>
      <c r="AF46" s="17" t="str">
        <f t="shared" si="89"/>
        <v>-</v>
      </c>
      <c r="AG46" s="10"/>
      <c r="AH46" s="19"/>
      <c r="AI46" s="13">
        <f>IF(G46="CPI",#REF!*AH46,IFERROR(ROUNDDOWN(AE46*AH46,0),"-"))</f>
        <v>0</v>
      </c>
      <c r="AJ46" s="17" t="str">
        <f t="shared" si="90"/>
        <v>-</v>
      </c>
    </row>
    <row r="47" spans="1:36" ht="30.75" customHeight="1" x14ac:dyDescent="0.3">
      <c r="A47" s="10"/>
      <c r="B47" s="11"/>
      <c r="C47" s="12"/>
      <c r="D47" s="12"/>
      <c r="E47" s="10"/>
      <c r="F47" s="13" t="s">
        <v>57</v>
      </c>
      <c r="G47" s="14" t="s">
        <v>27</v>
      </c>
      <c r="H47" s="15"/>
      <c r="I47" s="16">
        <f t="shared" si="80"/>
        <v>0</v>
      </c>
      <c r="J47" s="10"/>
      <c r="K47" s="17"/>
      <c r="L47" s="12"/>
      <c r="M47" s="17"/>
      <c r="N47" s="17">
        <f t="shared" si="81"/>
        <v>0</v>
      </c>
      <c r="O47" s="18"/>
      <c r="P47" s="17">
        <f t="shared" si="82"/>
        <v>0</v>
      </c>
      <c r="Q47" s="19"/>
      <c r="R47" s="17">
        <f t="shared" si="83"/>
        <v>0</v>
      </c>
      <c r="S47" s="17">
        <f t="shared" si="72"/>
        <v>0</v>
      </c>
      <c r="T47" s="18" t="str">
        <f t="shared" si="84"/>
        <v>-</v>
      </c>
      <c r="U47" s="10"/>
      <c r="V47" s="20"/>
      <c r="W47" s="16"/>
      <c r="X47" s="13" t="s">
        <v>29</v>
      </c>
      <c r="Y47" s="17" t="str">
        <f t="shared" si="85"/>
        <v>-</v>
      </c>
      <c r="Z47" s="17" t="str">
        <f t="shared" si="86"/>
        <v>-</v>
      </c>
      <c r="AA47" s="16"/>
      <c r="AB47" s="18" t="str">
        <f t="shared" si="87"/>
        <v>-</v>
      </c>
      <c r="AC47" s="10"/>
      <c r="AD47" s="19"/>
      <c r="AE47" s="13">
        <f t="shared" si="88"/>
        <v>0</v>
      </c>
      <c r="AF47" s="17" t="str">
        <f t="shared" si="89"/>
        <v>-</v>
      </c>
      <c r="AG47" s="10"/>
      <c r="AH47" s="19"/>
      <c r="AI47" s="13">
        <f>IF(G47="CPI",#REF!*AH47,IFERROR(ROUNDDOWN(AE47*AH47,0),"-"))</f>
        <v>0</v>
      </c>
      <c r="AJ47" s="17" t="str">
        <f t="shared" si="90"/>
        <v>-</v>
      </c>
    </row>
    <row r="48" spans="1:36" ht="30.75" customHeight="1" x14ac:dyDescent="0.3">
      <c r="A48" s="10"/>
      <c r="B48" s="11"/>
      <c r="C48" s="12"/>
      <c r="D48" s="12"/>
      <c r="E48" s="10"/>
      <c r="F48" s="13" t="s">
        <v>57</v>
      </c>
      <c r="G48" s="14" t="s">
        <v>27</v>
      </c>
      <c r="H48" s="15"/>
      <c r="I48" s="16">
        <f t="shared" ref="I48:I51" si="91">IFERROR(V48*AD48,"-")</f>
        <v>0</v>
      </c>
      <c r="J48" s="10"/>
      <c r="K48" s="17"/>
      <c r="L48" s="12"/>
      <c r="M48" s="17"/>
      <c r="N48" s="17">
        <f t="shared" si="69"/>
        <v>0</v>
      </c>
      <c r="O48" s="18"/>
      <c r="P48" s="17">
        <f t="shared" si="70"/>
        <v>0</v>
      </c>
      <c r="Q48" s="19"/>
      <c r="R48" s="17">
        <f t="shared" si="71"/>
        <v>0</v>
      </c>
      <c r="S48" s="17">
        <f t="shared" si="72"/>
        <v>0</v>
      </c>
      <c r="T48" s="18" t="str">
        <f t="shared" si="73"/>
        <v>-</v>
      </c>
      <c r="U48" s="10"/>
      <c r="V48" s="20"/>
      <c r="W48" s="16"/>
      <c r="X48" s="13" t="s">
        <v>29</v>
      </c>
      <c r="Y48" s="17" t="str">
        <f t="shared" si="74"/>
        <v>-</v>
      </c>
      <c r="Z48" s="17" t="str">
        <f t="shared" si="75"/>
        <v>-</v>
      </c>
      <c r="AA48" s="16"/>
      <c r="AB48" s="18" t="str">
        <f t="shared" si="76"/>
        <v>-</v>
      </c>
      <c r="AC48" s="10"/>
      <c r="AD48" s="19"/>
      <c r="AE48" s="13">
        <f t="shared" si="77"/>
        <v>0</v>
      </c>
      <c r="AF48" s="17" t="str">
        <f t="shared" si="78"/>
        <v>-</v>
      </c>
      <c r="AG48" s="10"/>
      <c r="AH48" s="19"/>
      <c r="AI48" s="13">
        <f>IF(G48="CPI",#REF!*AH48,IFERROR(ROUNDDOWN(AE48*AH48,0),"-"))</f>
        <v>0</v>
      </c>
      <c r="AJ48" s="17" t="str">
        <f t="shared" si="79"/>
        <v>-</v>
      </c>
    </row>
    <row r="49" spans="1:36" ht="30.75" customHeight="1" x14ac:dyDescent="0.3">
      <c r="A49" s="10"/>
      <c r="B49" s="11"/>
      <c r="C49" s="12"/>
      <c r="D49" s="12"/>
      <c r="E49" s="10"/>
      <c r="F49" s="13" t="s">
        <v>57</v>
      </c>
      <c r="G49" s="14" t="s">
        <v>27</v>
      </c>
      <c r="H49" s="15"/>
      <c r="I49" s="16">
        <f t="shared" si="91"/>
        <v>0</v>
      </c>
      <c r="J49" s="10"/>
      <c r="K49" s="17"/>
      <c r="L49" s="12"/>
      <c r="M49" s="17"/>
      <c r="N49" s="17">
        <f t="shared" si="69"/>
        <v>0</v>
      </c>
      <c r="O49" s="18"/>
      <c r="P49" s="17">
        <f t="shared" si="70"/>
        <v>0</v>
      </c>
      <c r="Q49" s="19"/>
      <c r="R49" s="17">
        <f t="shared" si="71"/>
        <v>0</v>
      </c>
      <c r="S49" s="17">
        <f t="shared" si="72"/>
        <v>0</v>
      </c>
      <c r="T49" s="18" t="str">
        <f t="shared" si="73"/>
        <v>-</v>
      </c>
      <c r="U49" s="10"/>
      <c r="V49" s="20"/>
      <c r="W49" s="16"/>
      <c r="X49" s="13" t="s">
        <v>29</v>
      </c>
      <c r="Y49" s="17" t="str">
        <f t="shared" si="74"/>
        <v>-</v>
      </c>
      <c r="Z49" s="17" t="str">
        <f t="shared" si="75"/>
        <v>-</v>
      </c>
      <c r="AA49" s="16"/>
      <c r="AB49" s="18" t="str">
        <f t="shared" si="76"/>
        <v>-</v>
      </c>
      <c r="AC49" s="10"/>
      <c r="AD49" s="19"/>
      <c r="AE49" s="13">
        <f t="shared" si="77"/>
        <v>0</v>
      </c>
      <c r="AF49" s="17" t="str">
        <f t="shared" si="78"/>
        <v>-</v>
      </c>
      <c r="AG49" s="10"/>
      <c r="AH49" s="19"/>
      <c r="AI49" s="13">
        <f>IF(G49="CPI",#REF!*AH49,IFERROR(ROUNDDOWN(AE49*AH49,0),"-"))</f>
        <v>0</v>
      </c>
      <c r="AJ49" s="17" t="str">
        <f t="shared" si="79"/>
        <v>-</v>
      </c>
    </row>
    <row r="50" spans="1:36" ht="30.75" customHeight="1" x14ac:dyDescent="0.3">
      <c r="A50" s="10"/>
      <c r="B50" s="11"/>
      <c r="C50" s="12"/>
      <c r="D50" s="12"/>
      <c r="E50" s="10"/>
      <c r="F50" s="13" t="s">
        <v>57</v>
      </c>
      <c r="G50" s="14" t="s">
        <v>27</v>
      </c>
      <c r="H50" s="15"/>
      <c r="I50" s="16">
        <f t="shared" si="91"/>
        <v>0</v>
      </c>
      <c r="J50" s="10"/>
      <c r="K50" s="17"/>
      <c r="L50" s="12"/>
      <c r="M50" s="17"/>
      <c r="N50" s="17">
        <f t="shared" si="69"/>
        <v>0</v>
      </c>
      <c r="O50" s="18"/>
      <c r="P50" s="17">
        <f t="shared" si="70"/>
        <v>0</v>
      </c>
      <c r="Q50" s="19"/>
      <c r="R50" s="17">
        <f t="shared" si="71"/>
        <v>0</v>
      </c>
      <c r="S50" s="17">
        <f t="shared" si="72"/>
        <v>0</v>
      </c>
      <c r="T50" s="18" t="str">
        <f t="shared" si="73"/>
        <v>-</v>
      </c>
      <c r="U50" s="10"/>
      <c r="V50" s="20"/>
      <c r="W50" s="16"/>
      <c r="X50" s="13" t="s">
        <v>29</v>
      </c>
      <c r="Y50" s="17" t="str">
        <f t="shared" si="74"/>
        <v>-</v>
      </c>
      <c r="Z50" s="17" t="str">
        <f t="shared" si="75"/>
        <v>-</v>
      </c>
      <c r="AA50" s="16"/>
      <c r="AB50" s="18" t="str">
        <f t="shared" si="76"/>
        <v>-</v>
      </c>
      <c r="AC50" s="10"/>
      <c r="AD50" s="19"/>
      <c r="AE50" s="13">
        <f t="shared" si="77"/>
        <v>0</v>
      </c>
      <c r="AF50" s="17" t="str">
        <f t="shared" si="78"/>
        <v>-</v>
      </c>
      <c r="AG50" s="10"/>
      <c r="AH50" s="19"/>
      <c r="AI50" s="13">
        <f>IF(G50="CPI",#REF!*AH50,IFERROR(ROUNDDOWN(AE50*AH50,0),"-"))</f>
        <v>0</v>
      </c>
      <c r="AJ50" s="17" t="str">
        <f t="shared" si="79"/>
        <v>-</v>
      </c>
    </row>
    <row r="51" spans="1:36" ht="30.75" customHeight="1" x14ac:dyDescent="0.3">
      <c r="A51" s="10"/>
      <c r="B51" s="11"/>
      <c r="C51" s="12"/>
      <c r="D51" s="12"/>
      <c r="E51" s="10"/>
      <c r="F51" s="13" t="s">
        <v>57</v>
      </c>
      <c r="G51" s="14" t="s">
        <v>27</v>
      </c>
      <c r="H51" s="15"/>
      <c r="I51" s="16">
        <f t="shared" si="91"/>
        <v>0</v>
      </c>
      <c r="J51" s="10"/>
      <c r="K51" s="17"/>
      <c r="L51" s="12"/>
      <c r="M51" s="17"/>
      <c r="N51" s="17">
        <f t="shared" si="69"/>
        <v>0</v>
      </c>
      <c r="O51" s="18"/>
      <c r="P51" s="17">
        <f t="shared" si="70"/>
        <v>0</v>
      </c>
      <c r="Q51" s="19"/>
      <c r="R51" s="17">
        <f t="shared" si="71"/>
        <v>0</v>
      </c>
      <c r="S51" s="17">
        <f t="shared" si="72"/>
        <v>0</v>
      </c>
      <c r="T51" s="18" t="str">
        <f t="shared" si="73"/>
        <v>-</v>
      </c>
      <c r="U51" s="10"/>
      <c r="V51" s="20"/>
      <c r="W51" s="16"/>
      <c r="X51" s="13" t="s">
        <v>29</v>
      </c>
      <c r="Y51" s="17" t="str">
        <f t="shared" si="74"/>
        <v>-</v>
      </c>
      <c r="Z51" s="17" t="str">
        <f t="shared" si="75"/>
        <v>-</v>
      </c>
      <c r="AA51" s="16"/>
      <c r="AB51" s="18" t="str">
        <f t="shared" si="76"/>
        <v>-</v>
      </c>
      <c r="AC51" s="10"/>
      <c r="AD51" s="19"/>
      <c r="AE51" s="13">
        <f t="shared" si="77"/>
        <v>0</v>
      </c>
      <c r="AF51" s="17" t="str">
        <f t="shared" si="78"/>
        <v>-</v>
      </c>
      <c r="AG51" s="10"/>
      <c r="AH51" s="19"/>
      <c r="AI51" s="13">
        <f>IF(G51="CPI",#REF!*AH51,IFERROR(ROUNDDOWN(AE51*AH51,0),"-"))</f>
        <v>0</v>
      </c>
      <c r="AJ51" s="17" t="str">
        <f t="shared" si="79"/>
        <v>-</v>
      </c>
    </row>
    <row r="52" spans="1:36" ht="17.25" customHeight="1" x14ac:dyDescent="0.3">
      <c r="A52" s="22"/>
      <c r="B52" s="6" t="s">
        <v>28</v>
      </c>
      <c r="C52" s="9" t="s">
        <v>29</v>
      </c>
      <c r="D52" s="9" t="s">
        <v>29</v>
      </c>
      <c r="E52" s="22"/>
      <c r="F52" s="9" t="s">
        <v>29</v>
      </c>
      <c r="G52" s="6" t="s">
        <v>29</v>
      </c>
      <c r="H52" s="5" t="str">
        <f>IFERROR(N52/I52,"-")</f>
        <v>-</v>
      </c>
      <c r="I52" s="25">
        <f>IFERROR(SUM(I42:I51),"-")</f>
        <v>0</v>
      </c>
      <c r="J52" s="22"/>
      <c r="K52" s="23"/>
      <c r="L52" s="6"/>
      <c r="M52" s="23"/>
      <c r="N52" s="23">
        <f>IFERROR(SUM(N42:N51),"-")</f>
        <v>0</v>
      </c>
      <c r="O52" s="6" t="s">
        <v>29</v>
      </c>
      <c r="P52" s="23">
        <f>IFERROR(SUM(P42:P51),"-")</f>
        <v>0</v>
      </c>
      <c r="Q52" s="9" t="s">
        <v>29</v>
      </c>
      <c r="R52" s="23">
        <f>IFERROR(SUM(R42:R51),"-")</f>
        <v>0</v>
      </c>
      <c r="S52" s="23">
        <f t="shared" si="72"/>
        <v>0</v>
      </c>
      <c r="T52" s="24">
        <v>0</v>
      </c>
      <c r="U52" s="22"/>
      <c r="V52" s="25">
        <f>IFERROR(SUM(V42:V51),"-")</f>
        <v>0</v>
      </c>
      <c r="W52" s="25" t="s">
        <v>29</v>
      </c>
      <c r="X52" s="25" t="s">
        <v>29</v>
      </c>
      <c r="Y52" s="23" t="str">
        <f t="shared" si="74"/>
        <v>-</v>
      </c>
      <c r="Z52" s="23" t="str">
        <f t="shared" si="75"/>
        <v>-</v>
      </c>
      <c r="AA52" s="6" t="s">
        <v>29</v>
      </c>
      <c r="AB52" s="6" t="s">
        <v>29</v>
      </c>
      <c r="AC52" s="22"/>
      <c r="AD52" s="24" t="str">
        <f>IFERROR(AE52/V52,"-")</f>
        <v>-</v>
      </c>
      <c r="AE52" s="25">
        <f>IFERROR(SUM(AE42:AE51),"-")</f>
        <v>0</v>
      </c>
      <c r="AF52" s="23" t="str">
        <f t="shared" si="78"/>
        <v>-</v>
      </c>
      <c r="AG52" s="22"/>
      <c r="AH52" s="24" t="str">
        <f>IFERROR(AI52/AE52,"-")</f>
        <v>-</v>
      </c>
      <c r="AI52" s="25">
        <f>IFERROR(SUM(AI42:AI51),"-")</f>
        <v>0</v>
      </c>
      <c r="AJ52" s="23" t="str">
        <f t="shared" si="79"/>
        <v>-</v>
      </c>
    </row>
    <row r="53" spans="1:36" ht="15.75" customHeight="1" x14ac:dyDescent="0.3">
      <c r="A53" s="33"/>
      <c r="B53" s="34"/>
      <c r="C53" s="34"/>
      <c r="D53" s="34"/>
      <c r="E53" s="33"/>
      <c r="F53" s="34"/>
      <c r="G53" s="34"/>
      <c r="H53" s="34"/>
      <c r="I53" s="34"/>
      <c r="J53" s="33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3"/>
      <c r="V53" s="34"/>
      <c r="W53" s="34"/>
      <c r="X53" s="34"/>
      <c r="Y53" s="34"/>
      <c r="Z53" s="34"/>
      <c r="AA53" s="34"/>
      <c r="AB53" s="34"/>
      <c r="AC53" s="33"/>
      <c r="AD53" s="34"/>
      <c r="AE53" s="34"/>
      <c r="AF53" s="34"/>
      <c r="AG53" s="33"/>
      <c r="AH53" s="34"/>
      <c r="AI53" s="34"/>
      <c r="AJ53" s="34"/>
    </row>
    <row r="54" spans="1:36" ht="51.75" customHeight="1" x14ac:dyDescent="0.3">
      <c r="A54" s="1"/>
      <c r="B54" s="2" t="s">
        <v>0</v>
      </c>
      <c r="C54" s="2" t="s">
        <v>1</v>
      </c>
      <c r="D54" s="2" t="s">
        <v>2</v>
      </c>
      <c r="E54" s="1"/>
      <c r="F54" s="3" t="s">
        <v>3</v>
      </c>
      <c r="G54" s="2" t="s">
        <v>50</v>
      </c>
      <c r="H54" s="2" t="s">
        <v>51</v>
      </c>
      <c r="I54" s="2" t="s">
        <v>52</v>
      </c>
      <c r="J54" s="1"/>
      <c r="K54" s="39" t="s">
        <v>68</v>
      </c>
      <c r="L54" s="41" t="s">
        <v>69</v>
      </c>
      <c r="M54" s="39" t="s">
        <v>70</v>
      </c>
      <c r="N54" s="4" t="s">
        <v>7</v>
      </c>
      <c r="O54" s="3" t="s">
        <v>8</v>
      </c>
      <c r="P54" s="4" t="s">
        <v>9</v>
      </c>
      <c r="Q54" s="3" t="s">
        <v>10</v>
      </c>
      <c r="R54" s="5" t="s">
        <v>11</v>
      </c>
      <c r="S54" s="5" t="s">
        <v>12</v>
      </c>
      <c r="T54" s="4" t="s">
        <v>13</v>
      </c>
      <c r="U54" s="1"/>
      <c r="V54" s="2" t="s">
        <v>14</v>
      </c>
      <c r="W54" s="2" t="s">
        <v>15</v>
      </c>
      <c r="X54" s="2" t="s">
        <v>16</v>
      </c>
      <c r="Y54" s="2" t="s">
        <v>17</v>
      </c>
      <c r="Z54" s="2" t="s">
        <v>18</v>
      </c>
      <c r="AA54" s="2" t="s">
        <v>19</v>
      </c>
      <c r="AB54" s="2" t="s">
        <v>20</v>
      </c>
      <c r="AC54" s="1"/>
      <c r="AD54" s="6" t="s">
        <v>21</v>
      </c>
      <c r="AE54" s="7" t="s">
        <v>22</v>
      </c>
      <c r="AF54" s="7" t="s">
        <v>23</v>
      </c>
      <c r="AG54" s="1"/>
      <c r="AH54" s="6" t="s">
        <v>24</v>
      </c>
      <c r="AI54" s="8" t="s">
        <v>25</v>
      </c>
      <c r="AJ54" s="8" t="s">
        <v>26</v>
      </c>
    </row>
    <row r="55" spans="1:36" ht="30.75" customHeight="1" x14ac:dyDescent="0.3">
      <c r="A55" s="10"/>
      <c r="B55" s="11"/>
      <c r="C55" s="12"/>
      <c r="D55" s="12"/>
      <c r="E55" s="10"/>
      <c r="F55" s="13" t="s">
        <v>58</v>
      </c>
      <c r="G55" s="14" t="s">
        <v>27</v>
      </c>
      <c r="H55" s="15"/>
      <c r="I55" s="16">
        <f>IFERROR(V55*AD55,"-")</f>
        <v>0</v>
      </c>
      <c r="J55" s="10"/>
      <c r="K55" s="17"/>
      <c r="L55" s="12"/>
      <c r="M55" s="17"/>
      <c r="N55" s="17">
        <f t="shared" ref="N55:N64" si="92">IFERROR((H55*I55),"-")</f>
        <v>0</v>
      </c>
      <c r="O55" s="18"/>
      <c r="P55" s="17">
        <f t="shared" ref="P55:P64" si="93">IFERROR(N55*(1-O55),"-")</f>
        <v>0</v>
      </c>
      <c r="Q55" s="19"/>
      <c r="R55" s="17">
        <f t="shared" ref="R55:R64" si="94">IFERROR(P55*(1+Q55),"-")</f>
        <v>0</v>
      </c>
      <c r="S55" s="17">
        <f t="shared" ref="S55:S65" si="95">IFERROR(R55*1.22,"-")</f>
        <v>0</v>
      </c>
      <c r="T55" s="18" t="str">
        <f t="shared" ref="T55:T64" si="96">IFERROR(S55/$S$13,"-")</f>
        <v>-</v>
      </c>
      <c r="U55" s="10"/>
      <c r="V55" s="20"/>
      <c r="W55" s="16"/>
      <c r="X55" s="13" t="s">
        <v>29</v>
      </c>
      <c r="Y55" s="17" t="str">
        <f t="shared" ref="Y55:Y65" si="97">IFERROR(S55/V55*1000,"-")</f>
        <v>-</v>
      </c>
      <c r="Z55" s="17" t="str">
        <f t="shared" ref="Z55:Z65" si="98">IFERROR(S55/X55*1000,"-")</f>
        <v>-</v>
      </c>
      <c r="AA55" s="16"/>
      <c r="AB55" s="18" t="str">
        <f t="shared" ref="AB55:AB64" si="99">IFERROR(X55/AA55,"-")</f>
        <v>-</v>
      </c>
      <c r="AC55" s="10"/>
      <c r="AD55" s="19"/>
      <c r="AE55" s="13">
        <f t="shared" ref="AE55:AE64" si="100">IFERROR(ROUNDDOWN(V55*AD55,0),"-")</f>
        <v>0</v>
      </c>
      <c r="AF55" s="17" t="str">
        <f t="shared" ref="AF55:AF65" si="101">IFERROR(S55/AE55,"-")</f>
        <v>-</v>
      </c>
      <c r="AG55" s="10"/>
      <c r="AH55" s="19"/>
      <c r="AI55" s="13">
        <f>IF(G55="CPI",#REF!*AH55,IFERROR(ROUNDDOWN(AE55*AH55,0),"-"))</f>
        <v>0</v>
      </c>
      <c r="AJ55" s="17" t="str">
        <f t="shared" ref="AJ55:AJ65" si="102">IFERROR(S55/AI55,"-")</f>
        <v>-</v>
      </c>
    </row>
    <row r="56" spans="1:36" ht="30.75" customHeight="1" x14ac:dyDescent="0.3">
      <c r="A56" s="10"/>
      <c r="B56" s="11"/>
      <c r="C56" s="12"/>
      <c r="D56" s="12"/>
      <c r="E56" s="10"/>
      <c r="F56" s="13" t="s">
        <v>58</v>
      </c>
      <c r="G56" s="14" t="s">
        <v>27</v>
      </c>
      <c r="H56" s="15"/>
      <c r="I56" s="16">
        <f t="shared" ref="I56:I64" si="103">IFERROR(V56*AD56,"-")</f>
        <v>0</v>
      </c>
      <c r="J56" s="10"/>
      <c r="K56" s="17"/>
      <c r="L56" s="12"/>
      <c r="M56" s="17"/>
      <c r="N56" s="17">
        <f t="shared" si="92"/>
        <v>0</v>
      </c>
      <c r="O56" s="18"/>
      <c r="P56" s="17">
        <f t="shared" si="93"/>
        <v>0</v>
      </c>
      <c r="Q56" s="19"/>
      <c r="R56" s="17">
        <f t="shared" si="94"/>
        <v>0</v>
      </c>
      <c r="S56" s="17">
        <f t="shared" si="95"/>
        <v>0</v>
      </c>
      <c r="T56" s="18" t="str">
        <f t="shared" si="96"/>
        <v>-</v>
      </c>
      <c r="U56" s="10"/>
      <c r="V56" s="20"/>
      <c r="W56" s="16"/>
      <c r="X56" s="13" t="s">
        <v>29</v>
      </c>
      <c r="Y56" s="17" t="str">
        <f t="shared" si="97"/>
        <v>-</v>
      </c>
      <c r="Z56" s="17" t="str">
        <f t="shared" si="98"/>
        <v>-</v>
      </c>
      <c r="AA56" s="16"/>
      <c r="AB56" s="18" t="str">
        <f t="shared" si="99"/>
        <v>-</v>
      </c>
      <c r="AC56" s="10"/>
      <c r="AD56" s="19"/>
      <c r="AE56" s="13">
        <f t="shared" si="100"/>
        <v>0</v>
      </c>
      <c r="AF56" s="17" t="str">
        <f t="shared" si="101"/>
        <v>-</v>
      </c>
      <c r="AG56" s="10"/>
      <c r="AH56" s="19"/>
      <c r="AI56" s="13">
        <f>IF(G56="CPI",#REF!*AH56,IFERROR(ROUNDDOWN(AE56*AH56,0),"-"))</f>
        <v>0</v>
      </c>
      <c r="AJ56" s="17" t="str">
        <f t="shared" si="102"/>
        <v>-</v>
      </c>
    </row>
    <row r="57" spans="1:36" ht="30.75" customHeight="1" x14ac:dyDescent="0.3">
      <c r="A57" s="10"/>
      <c r="B57" s="11"/>
      <c r="C57" s="12"/>
      <c r="D57" s="12"/>
      <c r="E57" s="10"/>
      <c r="F57" s="13" t="s">
        <v>58</v>
      </c>
      <c r="G57" s="14" t="s">
        <v>27</v>
      </c>
      <c r="H57" s="15"/>
      <c r="I57" s="16">
        <f t="shared" ref="I57:I61" si="104">IFERROR(V57*AD57,"-")</f>
        <v>0</v>
      </c>
      <c r="J57" s="10"/>
      <c r="K57" s="17"/>
      <c r="L57" s="12"/>
      <c r="M57" s="17"/>
      <c r="N57" s="17">
        <f t="shared" ref="N57:N61" si="105">IFERROR((H57*I57),"-")</f>
        <v>0</v>
      </c>
      <c r="O57" s="18"/>
      <c r="P57" s="17">
        <f t="shared" ref="P57:P61" si="106">IFERROR(N57*(1-O57),"-")</f>
        <v>0</v>
      </c>
      <c r="Q57" s="19"/>
      <c r="R57" s="17">
        <f t="shared" ref="R57:R61" si="107">IFERROR(P57*(1+Q57),"-")</f>
        <v>0</v>
      </c>
      <c r="S57" s="17">
        <f t="shared" si="95"/>
        <v>0</v>
      </c>
      <c r="T57" s="18" t="str">
        <f t="shared" ref="T57:T61" si="108">IFERROR(S57/$S$13,"-")</f>
        <v>-</v>
      </c>
      <c r="U57" s="10"/>
      <c r="V57" s="20"/>
      <c r="W57" s="16"/>
      <c r="X57" s="13" t="s">
        <v>29</v>
      </c>
      <c r="Y57" s="17" t="str">
        <f t="shared" ref="Y57:Y61" si="109">IFERROR(S57/V57*1000,"-")</f>
        <v>-</v>
      </c>
      <c r="Z57" s="17" t="str">
        <f t="shared" ref="Z57:Z61" si="110">IFERROR(S57/X57*1000,"-")</f>
        <v>-</v>
      </c>
      <c r="AA57" s="16"/>
      <c r="AB57" s="18" t="str">
        <f t="shared" ref="AB57:AB61" si="111">IFERROR(X57/AA57,"-")</f>
        <v>-</v>
      </c>
      <c r="AC57" s="10"/>
      <c r="AD57" s="19"/>
      <c r="AE57" s="13">
        <f t="shared" ref="AE57:AE61" si="112">IFERROR(ROUNDDOWN(V57*AD57,0),"-")</f>
        <v>0</v>
      </c>
      <c r="AF57" s="17" t="str">
        <f t="shared" ref="AF57:AF61" si="113">IFERROR(S57/AE57,"-")</f>
        <v>-</v>
      </c>
      <c r="AG57" s="10"/>
      <c r="AH57" s="19"/>
      <c r="AI57" s="13">
        <f>IF(G57="CPI",#REF!*AH57,IFERROR(ROUNDDOWN(AE57*AH57,0),"-"))</f>
        <v>0</v>
      </c>
      <c r="AJ57" s="17" t="str">
        <f t="shared" ref="AJ57:AJ61" si="114">IFERROR(S57/AI57,"-")</f>
        <v>-</v>
      </c>
    </row>
    <row r="58" spans="1:36" ht="30.75" customHeight="1" x14ac:dyDescent="0.3">
      <c r="A58" s="10"/>
      <c r="B58" s="11"/>
      <c r="C58" s="12"/>
      <c r="D58" s="12"/>
      <c r="E58" s="10"/>
      <c r="F58" s="13" t="s">
        <v>58</v>
      </c>
      <c r="G58" s="14" t="s">
        <v>27</v>
      </c>
      <c r="H58" s="15"/>
      <c r="I58" s="16">
        <f t="shared" si="104"/>
        <v>0</v>
      </c>
      <c r="J58" s="10"/>
      <c r="K58" s="17"/>
      <c r="L58" s="12"/>
      <c r="M58" s="17"/>
      <c r="N58" s="17">
        <f t="shared" si="105"/>
        <v>0</v>
      </c>
      <c r="O58" s="18"/>
      <c r="P58" s="17">
        <f t="shared" si="106"/>
        <v>0</v>
      </c>
      <c r="Q58" s="19"/>
      <c r="R58" s="17">
        <f t="shared" si="107"/>
        <v>0</v>
      </c>
      <c r="S58" s="17">
        <f t="shared" si="95"/>
        <v>0</v>
      </c>
      <c r="T58" s="18" t="str">
        <f t="shared" si="108"/>
        <v>-</v>
      </c>
      <c r="U58" s="10"/>
      <c r="V58" s="20"/>
      <c r="W58" s="16"/>
      <c r="X58" s="13" t="s">
        <v>29</v>
      </c>
      <c r="Y58" s="17" t="str">
        <f t="shared" si="109"/>
        <v>-</v>
      </c>
      <c r="Z58" s="17" t="str">
        <f t="shared" si="110"/>
        <v>-</v>
      </c>
      <c r="AA58" s="16"/>
      <c r="AB58" s="18" t="str">
        <f t="shared" si="111"/>
        <v>-</v>
      </c>
      <c r="AC58" s="10"/>
      <c r="AD58" s="19"/>
      <c r="AE58" s="13">
        <f t="shared" si="112"/>
        <v>0</v>
      </c>
      <c r="AF58" s="17" t="str">
        <f t="shared" si="113"/>
        <v>-</v>
      </c>
      <c r="AG58" s="10"/>
      <c r="AH58" s="19"/>
      <c r="AI58" s="13">
        <f>IF(G58="CPI",#REF!*AH58,IFERROR(ROUNDDOWN(AE58*AH58,0),"-"))</f>
        <v>0</v>
      </c>
      <c r="AJ58" s="17" t="str">
        <f t="shared" si="114"/>
        <v>-</v>
      </c>
    </row>
    <row r="59" spans="1:36" ht="30.75" customHeight="1" x14ac:dyDescent="0.3">
      <c r="A59" s="10"/>
      <c r="B59" s="11"/>
      <c r="C59" s="12"/>
      <c r="D59" s="12"/>
      <c r="E59" s="10"/>
      <c r="F59" s="13" t="s">
        <v>58</v>
      </c>
      <c r="G59" s="14" t="s">
        <v>27</v>
      </c>
      <c r="H59" s="15"/>
      <c r="I59" s="16">
        <f t="shared" si="104"/>
        <v>0</v>
      </c>
      <c r="J59" s="10"/>
      <c r="K59" s="17"/>
      <c r="L59" s="12"/>
      <c r="M59" s="17"/>
      <c r="N59" s="17">
        <f t="shared" si="105"/>
        <v>0</v>
      </c>
      <c r="O59" s="18"/>
      <c r="P59" s="17">
        <f t="shared" si="106"/>
        <v>0</v>
      </c>
      <c r="Q59" s="19"/>
      <c r="R59" s="17">
        <f t="shared" si="107"/>
        <v>0</v>
      </c>
      <c r="S59" s="17">
        <f t="shared" si="95"/>
        <v>0</v>
      </c>
      <c r="T59" s="18" t="str">
        <f t="shared" si="108"/>
        <v>-</v>
      </c>
      <c r="U59" s="10"/>
      <c r="V59" s="20"/>
      <c r="W59" s="16"/>
      <c r="X59" s="13" t="s">
        <v>29</v>
      </c>
      <c r="Y59" s="17" t="str">
        <f t="shared" si="109"/>
        <v>-</v>
      </c>
      <c r="Z59" s="17" t="str">
        <f t="shared" si="110"/>
        <v>-</v>
      </c>
      <c r="AA59" s="16"/>
      <c r="AB59" s="18" t="str">
        <f t="shared" si="111"/>
        <v>-</v>
      </c>
      <c r="AC59" s="10"/>
      <c r="AD59" s="19"/>
      <c r="AE59" s="13">
        <f t="shared" si="112"/>
        <v>0</v>
      </c>
      <c r="AF59" s="17" t="str">
        <f t="shared" si="113"/>
        <v>-</v>
      </c>
      <c r="AG59" s="10"/>
      <c r="AH59" s="19"/>
      <c r="AI59" s="13">
        <f>IF(G59="CPI",#REF!*AH59,IFERROR(ROUNDDOWN(AE59*AH59,0),"-"))</f>
        <v>0</v>
      </c>
      <c r="AJ59" s="17" t="str">
        <f t="shared" si="114"/>
        <v>-</v>
      </c>
    </row>
    <row r="60" spans="1:36" ht="30.75" customHeight="1" x14ac:dyDescent="0.3">
      <c r="A60" s="10"/>
      <c r="B60" s="11"/>
      <c r="C60" s="12"/>
      <c r="D60" s="12"/>
      <c r="E60" s="10"/>
      <c r="F60" s="13" t="s">
        <v>58</v>
      </c>
      <c r="G60" s="14" t="s">
        <v>27</v>
      </c>
      <c r="H60" s="15"/>
      <c r="I60" s="16">
        <f t="shared" si="104"/>
        <v>0</v>
      </c>
      <c r="J60" s="10"/>
      <c r="K60" s="17"/>
      <c r="L60" s="12"/>
      <c r="M60" s="17"/>
      <c r="N60" s="17">
        <f t="shared" si="105"/>
        <v>0</v>
      </c>
      <c r="O60" s="18"/>
      <c r="P60" s="17">
        <f t="shared" si="106"/>
        <v>0</v>
      </c>
      <c r="Q60" s="19"/>
      <c r="R60" s="17">
        <f t="shared" si="107"/>
        <v>0</v>
      </c>
      <c r="S60" s="17">
        <f t="shared" si="95"/>
        <v>0</v>
      </c>
      <c r="T60" s="18" t="str">
        <f t="shared" si="108"/>
        <v>-</v>
      </c>
      <c r="U60" s="10"/>
      <c r="V60" s="20"/>
      <c r="W60" s="16"/>
      <c r="X60" s="13" t="s">
        <v>29</v>
      </c>
      <c r="Y60" s="17" t="str">
        <f t="shared" si="109"/>
        <v>-</v>
      </c>
      <c r="Z60" s="17" t="str">
        <f t="shared" si="110"/>
        <v>-</v>
      </c>
      <c r="AA60" s="16"/>
      <c r="AB60" s="18" t="str">
        <f t="shared" si="111"/>
        <v>-</v>
      </c>
      <c r="AC60" s="10"/>
      <c r="AD60" s="19"/>
      <c r="AE60" s="13">
        <f t="shared" si="112"/>
        <v>0</v>
      </c>
      <c r="AF60" s="17" t="str">
        <f t="shared" si="113"/>
        <v>-</v>
      </c>
      <c r="AG60" s="10"/>
      <c r="AH60" s="19"/>
      <c r="AI60" s="13">
        <f>IF(G60="CPI",#REF!*AH60,IFERROR(ROUNDDOWN(AE60*AH60,0),"-"))</f>
        <v>0</v>
      </c>
      <c r="AJ60" s="17" t="str">
        <f t="shared" si="114"/>
        <v>-</v>
      </c>
    </row>
    <row r="61" spans="1:36" ht="30.75" customHeight="1" x14ac:dyDescent="0.3">
      <c r="A61" s="10"/>
      <c r="B61" s="11"/>
      <c r="C61" s="12"/>
      <c r="D61" s="12"/>
      <c r="E61" s="10"/>
      <c r="F61" s="13" t="s">
        <v>58</v>
      </c>
      <c r="G61" s="14" t="s">
        <v>27</v>
      </c>
      <c r="H61" s="15"/>
      <c r="I61" s="16">
        <f t="shared" si="104"/>
        <v>0</v>
      </c>
      <c r="J61" s="10"/>
      <c r="K61" s="17"/>
      <c r="L61" s="12"/>
      <c r="M61" s="17"/>
      <c r="N61" s="17">
        <f t="shared" si="105"/>
        <v>0</v>
      </c>
      <c r="O61" s="18"/>
      <c r="P61" s="17">
        <f t="shared" si="106"/>
        <v>0</v>
      </c>
      <c r="Q61" s="19"/>
      <c r="R61" s="17">
        <f t="shared" si="107"/>
        <v>0</v>
      </c>
      <c r="S61" s="17">
        <f t="shared" si="95"/>
        <v>0</v>
      </c>
      <c r="T61" s="18" t="str">
        <f t="shared" si="108"/>
        <v>-</v>
      </c>
      <c r="U61" s="10"/>
      <c r="V61" s="20"/>
      <c r="W61" s="16"/>
      <c r="X61" s="13" t="s">
        <v>29</v>
      </c>
      <c r="Y61" s="17" t="str">
        <f t="shared" si="109"/>
        <v>-</v>
      </c>
      <c r="Z61" s="17" t="str">
        <f t="shared" si="110"/>
        <v>-</v>
      </c>
      <c r="AA61" s="16"/>
      <c r="AB61" s="18" t="str">
        <f t="shared" si="111"/>
        <v>-</v>
      </c>
      <c r="AC61" s="10"/>
      <c r="AD61" s="19"/>
      <c r="AE61" s="13">
        <f t="shared" si="112"/>
        <v>0</v>
      </c>
      <c r="AF61" s="17" t="str">
        <f t="shared" si="113"/>
        <v>-</v>
      </c>
      <c r="AG61" s="10"/>
      <c r="AH61" s="19"/>
      <c r="AI61" s="13">
        <f>IF(G61="CPI",#REF!*AH61,IFERROR(ROUNDDOWN(AE61*AH61,0),"-"))</f>
        <v>0</v>
      </c>
      <c r="AJ61" s="17" t="str">
        <f t="shared" si="114"/>
        <v>-</v>
      </c>
    </row>
    <row r="62" spans="1:36" ht="30.75" customHeight="1" x14ac:dyDescent="0.3">
      <c r="A62" s="10"/>
      <c r="B62" s="11"/>
      <c r="C62" s="12"/>
      <c r="D62" s="12"/>
      <c r="E62" s="10"/>
      <c r="F62" s="13" t="s">
        <v>58</v>
      </c>
      <c r="G62" s="14" t="s">
        <v>27</v>
      </c>
      <c r="H62" s="15"/>
      <c r="I62" s="16">
        <f t="shared" si="103"/>
        <v>0</v>
      </c>
      <c r="J62" s="10"/>
      <c r="K62" s="17"/>
      <c r="L62" s="12"/>
      <c r="M62" s="17"/>
      <c r="N62" s="17">
        <f t="shared" si="92"/>
        <v>0</v>
      </c>
      <c r="O62" s="18"/>
      <c r="P62" s="17">
        <f t="shared" si="93"/>
        <v>0</v>
      </c>
      <c r="Q62" s="19"/>
      <c r="R62" s="17">
        <f t="shared" si="94"/>
        <v>0</v>
      </c>
      <c r="S62" s="17">
        <f t="shared" si="95"/>
        <v>0</v>
      </c>
      <c r="T62" s="18" t="str">
        <f t="shared" si="96"/>
        <v>-</v>
      </c>
      <c r="U62" s="10"/>
      <c r="V62" s="20"/>
      <c r="W62" s="16"/>
      <c r="X62" s="13" t="s">
        <v>29</v>
      </c>
      <c r="Y62" s="17" t="str">
        <f t="shared" si="97"/>
        <v>-</v>
      </c>
      <c r="Z62" s="17" t="str">
        <f t="shared" si="98"/>
        <v>-</v>
      </c>
      <c r="AA62" s="16"/>
      <c r="AB62" s="18" t="str">
        <f t="shared" si="99"/>
        <v>-</v>
      </c>
      <c r="AC62" s="10"/>
      <c r="AD62" s="19"/>
      <c r="AE62" s="13">
        <f t="shared" si="100"/>
        <v>0</v>
      </c>
      <c r="AF62" s="17" t="str">
        <f t="shared" si="101"/>
        <v>-</v>
      </c>
      <c r="AG62" s="10"/>
      <c r="AH62" s="19"/>
      <c r="AI62" s="13">
        <f>IF(G62="CPI",#REF!*AH62,IFERROR(ROUNDDOWN(AE62*AH62,0),"-"))</f>
        <v>0</v>
      </c>
      <c r="AJ62" s="17" t="str">
        <f t="shared" si="102"/>
        <v>-</v>
      </c>
    </row>
    <row r="63" spans="1:36" ht="30.75" customHeight="1" x14ac:dyDescent="0.3">
      <c r="A63" s="10"/>
      <c r="B63" s="11"/>
      <c r="C63" s="12"/>
      <c r="D63" s="12"/>
      <c r="E63" s="10"/>
      <c r="F63" s="13" t="s">
        <v>58</v>
      </c>
      <c r="G63" s="14" t="s">
        <v>27</v>
      </c>
      <c r="H63" s="15"/>
      <c r="I63" s="16">
        <f t="shared" si="103"/>
        <v>0</v>
      </c>
      <c r="J63" s="10"/>
      <c r="K63" s="17"/>
      <c r="L63" s="12"/>
      <c r="M63" s="17"/>
      <c r="N63" s="17">
        <f t="shared" si="92"/>
        <v>0</v>
      </c>
      <c r="O63" s="18"/>
      <c r="P63" s="17">
        <f t="shared" si="93"/>
        <v>0</v>
      </c>
      <c r="Q63" s="19"/>
      <c r="R63" s="17">
        <f t="shared" si="94"/>
        <v>0</v>
      </c>
      <c r="S63" s="17">
        <f t="shared" si="95"/>
        <v>0</v>
      </c>
      <c r="T63" s="18" t="str">
        <f t="shared" si="96"/>
        <v>-</v>
      </c>
      <c r="U63" s="10"/>
      <c r="V63" s="20"/>
      <c r="W63" s="16"/>
      <c r="X63" s="13" t="s">
        <v>29</v>
      </c>
      <c r="Y63" s="17" t="str">
        <f t="shared" si="97"/>
        <v>-</v>
      </c>
      <c r="Z63" s="17" t="str">
        <f t="shared" si="98"/>
        <v>-</v>
      </c>
      <c r="AA63" s="16"/>
      <c r="AB63" s="18" t="str">
        <f t="shared" si="99"/>
        <v>-</v>
      </c>
      <c r="AC63" s="10"/>
      <c r="AD63" s="19"/>
      <c r="AE63" s="13">
        <f t="shared" si="100"/>
        <v>0</v>
      </c>
      <c r="AF63" s="17" t="str">
        <f t="shared" si="101"/>
        <v>-</v>
      </c>
      <c r="AG63" s="10"/>
      <c r="AH63" s="19"/>
      <c r="AI63" s="13">
        <f>IF(G63="CPI",#REF!*AH63,IFERROR(ROUNDDOWN(AE63*AH63,0),"-"))</f>
        <v>0</v>
      </c>
      <c r="AJ63" s="17" t="str">
        <f t="shared" si="102"/>
        <v>-</v>
      </c>
    </row>
    <row r="64" spans="1:36" ht="30.75" customHeight="1" x14ac:dyDescent="0.3">
      <c r="A64" s="10"/>
      <c r="B64" s="11"/>
      <c r="C64" s="12"/>
      <c r="D64" s="12"/>
      <c r="E64" s="10"/>
      <c r="F64" s="13" t="s">
        <v>58</v>
      </c>
      <c r="G64" s="14" t="s">
        <v>27</v>
      </c>
      <c r="H64" s="15"/>
      <c r="I64" s="16">
        <f t="shared" si="103"/>
        <v>0</v>
      </c>
      <c r="J64" s="10"/>
      <c r="K64" s="17"/>
      <c r="L64" s="12"/>
      <c r="M64" s="17"/>
      <c r="N64" s="17">
        <f t="shared" si="92"/>
        <v>0</v>
      </c>
      <c r="O64" s="18"/>
      <c r="P64" s="17">
        <f t="shared" si="93"/>
        <v>0</v>
      </c>
      <c r="Q64" s="19"/>
      <c r="R64" s="17">
        <f t="shared" si="94"/>
        <v>0</v>
      </c>
      <c r="S64" s="17">
        <f t="shared" si="95"/>
        <v>0</v>
      </c>
      <c r="T64" s="18" t="str">
        <f t="shared" si="96"/>
        <v>-</v>
      </c>
      <c r="U64" s="10"/>
      <c r="V64" s="20"/>
      <c r="W64" s="16"/>
      <c r="X64" s="13" t="s">
        <v>29</v>
      </c>
      <c r="Y64" s="17" t="str">
        <f t="shared" si="97"/>
        <v>-</v>
      </c>
      <c r="Z64" s="17" t="str">
        <f t="shared" si="98"/>
        <v>-</v>
      </c>
      <c r="AA64" s="16"/>
      <c r="AB64" s="18" t="str">
        <f t="shared" si="99"/>
        <v>-</v>
      </c>
      <c r="AC64" s="10"/>
      <c r="AD64" s="19"/>
      <c r="AE64" s="13">
        <f t="shared" si="100"/>
        <v>0</v>
      </c>
      <c r="AF64" s="17" t="str">
        <f t="shared" si="101"/>
        <v>-</v>
      </c>
      <c r="AG64" s="10"/>
      <c r="AH64" s="19"/>
      <c r="AI64" s="13">
        <f>IF(G64="CPI",#REF!*AH64,IFERROR(ROUNDDOWN(AE64*AH64,0),"-"))</f>
        <v>0</v>
      </c>
      <c r="AJ64" s="17" t="str">
        <f t="shared" si="102"/>
        <v>-</v>
      </c>
    </row>
    <row r="65" spans="1:36" ht="17.25" customHeight="1" x14ac:dyDescent="0.3">
      <c r="A65" s="22"/>
      <c r="B65" s="6" t="s">
        <v>28</v>
      </c>
      <c r="C65" s="9" t="s">
        <v>29</v>
      </c>
      <c r="D65" s="9" t="s">
        <v>29</v>
      </c>
      <c r="E65" s="22"/>
      <c r="F65" s="9" t="s">
        <v>29</v>
      </c>
      <c r="G65" s="6" t="s">
        <v>29</v>
      </c>
      <c r="H65" s="5" t="str">
        <f>IFERROR(N65/I65,"-")</f>
        <v>-</v>
      </c>
      <c r="I65" s="25">
        <f>IFERROR(SUM(I55:I64),"-")</f>
        <v>0</v>
      </c>
      <c r="J65" s="22"/>
      <c r="K65" s="23"/>
      <c r="L65" s="6"/>
      <c r="M65" s="23"/>
      <c r="N65" s="23">
        <f>IFERROR(SUM(N55:N64),"-")</f>
        <v>0</v>
      </c>
      <c r="O65" s="6" t="s">
        <v>29</v>
      </c>
      <c r="P65" s="23">
        <f>IFERROR(SUM(P55:P64),"-")</f>
        <v>0</v>
      </c>
      <c r="Q65" s="9" t="s">
        <v>29</v>
      </c>
      <c r="R65" s="23">
        <f>IFERROR(SUM(R55:R64),"-")</f>
        <v>0</v>
      </c>
      <c r="S65" s="23">
        <f t="shared" si="95"/>
        <v>0</v>
      </c>
      <c r="T65" s="24">
        <v>0</v>
      </c>
      <c r="U65" s="22"/>
      <c r="V65" s="25">
        <f>IFERROR(SUM(V55:V64),"-")</f>
        <v>0</v>
      </c>
      <c r="W65" s="25" t="s">
        <v>29</v>
      </c>
      <c r="X65" s="25" t="s">
        <v>29</v>
      </c>
      <c r="Y65" s="23" t="str">
        <f t="shared" si="97"/>
        <v>-</v>
      </c>
      <c r="Z65" s="23" t="str">
        <f t="shared" si="98"/>
        <v>-</v>
      </c>
      <c r="AA65" s="6" t="s">
        <v>29</v>
      </c>
      <c r="AB65" s="6" t="s">
        <v>29</v>
      </c>
      <c r="AC65" s="22"/>
      <c r="AD65" s="24" t="str">
        <f>IFERROR(AE65/V65,"-")</f>
        <v>-</v>
      </c>
      <c r="AE65" s="25">
        <f>IFERROR(SUM(AE55:AE64),"-")</f>
        <v>0</v>
      </c>
      <c r="AF65" s="23" t="str">
        <f t="shared" si="101"/>
        <v>-</v>
      </c>
      <c r="AG65" s="22"/>
      <c r="AH65" s="24" t="str">
        <f>IFERROR(AI65/AE65,"-")</f>
        <v>-</v>
      </c>
      <c r="AI65" s="25">
        <f>IFERROR(SUM(AI55:AI64),"-")</f>
        <v>0</v>
      </c>
      <c r="AJ65" s="23" t="str">
        <f t="shared" si="102"/>
        <v>-</v>
      </c>
    </row>
    <row r="66" spans="1:36" ht="15.75" customHeight="1" x14ac:dyDescent="0.3">
      <c r="A66" s="33"/>
      <c r="B66" s="34"/>
      <c r="C66" s="34"/>
      <c r="D66" s="34"/>
      <c r="E66" s="33"/>
      <c r="F66" s="34"/>
      <c r="G66" s="34"/>
      <c r="H66" s="34"/>
      <c r="I66" s="34"/>
      <c r="J66" s="33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3"/>
      <c r="V66" s="34"/>
      <c r="W66" s="34"/>
      <c r="X66" s="34"/>
      <c r="Y66" s="34"/>
      <c r="Z66" s="34"/>
      <c r="AA66" s="34"/>
      <c r="AB66" s="34"/>
      <c r="AC66" s="33"/>
      <c r="AD66" s="34"/>
      <c r="AE66" s="34"/>
      <c r="AF66" s="34"/>
      <c r="AG66" s="33"/>
      <c r="AH66" s="34"/>
      <c r="AI66" s="34"/>
      <c r="AJ66" s="34"/>
    </row>
    <row r="67" spans="1:36" ht="51.75" customHeight="1" x14ac:dyDescent="0.3">
      <c r="A67" s="1"/>
      <c r="B67" s="2" t="s">
        <v>0</v>
      </c>
      <c r="C67" s="2" t="s">
        <v>1</v>
      </c>
      <c r="D67" s="2" t="s">
        <v>2</v>
      </c>
      <c r="E67" s="1"/>
      <c r="F67" s="3" t="s">
        <v>3</v>
      </c>
      <c r="G67" s="2" t="s">
        <v>50</v>
      </c>
      <c r="H67" s="2" t="s">
        <v>51</v>
      </c>
      <c r="I67" s="2" t="s">
        <v>52</v>
      </c>
      <c r="J67" s="1"/>
      <c r="K67" s="39" t="s">
        <v>68</v>
      </c>
      <c r="L67" s="41" t="s">
        <v>69</v>
      </c>
      <c r="M67" s="39" t="s">
        <v>70</v>
      </c>
      <c r="N67" s="4" t="s">
        <v>7</v>
      </c>
      <c r="O67" s="3" t="s">
        <v>8</v>
      </c>
      <c r="P67" s="4" t="s">
        <v>9</v>
      </c>
      <c r="Q67" s="3" t="s">
        <v>10</v>
      </c>
      <c r="R67" s="5" t="s">
        <v>11</v>
      </c>
      <c r="S67" s="5" t="s">
        <v>12</v>
      </c>
      <c r="T67" s="4" t="s">
        <v>13</v>
      </c>
      <c r="U67" s="1"/>
      <c r="V67" s="2" t="s">
        <v>14</v>
      </c>
      <c r="W67" s="2" t="s">
        <v>15</v>
      </c>
      <c r="X67" s="2" t="s">
        <v>16</v>
      </c>
      <c r="Y67" s="2" t="s">
        <v>17</v>
      </c>
      <c r="Z67" s="2" t="s">
        <v>18</v>
      </c>
      <c r="AA67" s="2" t="s">
        <v>19</v>
      </c>
      <c r="AB67" s="2" t="s">
        <v>20</v>
      </c>
      <c r="AC67" s="1"/>
      <c r="AD67" s="6" t="s">
        <v>21</v>
      </c>
      <c r="AE67" s="7" t="s">
        <v>22</v>
      </c>
      <c r="AF67" s="7" t="s">
        <v>23</v>
      </c>
      <c r="AG67" s="1"/>
      <c r="AH67" s="6" t="s">
        <v>24</v>
      </c>
      <c r="AI67" s="8" t="s">
        <v>25</v>
      </c>
      <c r="AJ67" s="8" t="s">
        <v>26</v>
      </c>
    </row>
    <row r="68" spans="1:36" ht="30.75" customHeight="1" x14ac:dyDescent="0.3">
      <c r="A68" s="10"/>
      <c r="B68" s="11"/>
      <c r="C68" s="12"/>
      <c r="D68" s="12"/>
      <c r="E68" s="10"/>
      <c r="F68" s="13" t="s">
        <v>59</v>
      </c>
      <c r="G68" s="14" t="s">
        <v>27</v>
      </c>
      <c r="H68" s="15"/>
      <c r="I68" s="16">
        <f>IFERROR(V68*AD68,"-")</f>
        <v>0</v>
      </c>
      <c r="J68" s="10"/>
      <c r="K68" s="17"/>
      <c r="L68" s="12"/>
      <c r="M68" s="17"/>
      <c r="N68" s="17">
        <f t="shared" ref="N68:N77" si="115">IFERROR((H68*I68),"-")</f>
        <v>0</v>
      </c>
      <c r="O68" s="18"/>
      <c r="P68" s="17">
        <f t="shared" ref="P68:P77" si="116">IFERROR(N68*(1-O68),"-")</f>
        <v>0</v>
      </c>
      <c r="Q68" s="19"/>
      <c r="R68" s="17">
        <f t="shared" ref="R68:R77" si="117">IFERROR(P68*(1+Q68),"-")</f>
        <v>0</v>
      </c>
      <c r="S68" s="17">
        <f t="shared" ref="S68:S78" si="118">IFERROR(R68*1.22,"-")</f>
        <v>0</v>
      </c>
      <c r="T68" s="18" t="str">
        <f t="shared" ref="T68:T77" si="119">IFERROR(S68/$S$13,"-")</f>
        <v>-</v>
      </c>
      <c r="U68" s="10"/>
      <c r="V68" s="20"/>
      <c r="W68" s="16"/>
      <c r="X68" s="13" t="s">
        <v>29</v>
      </c>
      <c r="Y68" s="17" t="str">
        <f t="shared" ref="Y68:Y78" si="120">IFERROR(S68/V68*1000,"-")</f>
        <v>-</v>
      </c>
      <c r="Z68" s="17" t="str">
        <f t="shared" ref="Z68:Z78" si="121">IFERROR(S68/X68*1000,"-")</f>
        <v>-</v>
      </c>
      <c r="AA68" s="16"/>
      <c r="AB68" s="18" t="str">
        <f t="shared" ref="AB68:AB77" si="122">IFERROR(X68/AA68,"-")</f>
        <v>-</v>
      </c>
      <c r="AC68" s="10"/>
      <c r="AD68" s="19"/>
      <c r="AE68" s="13">
        <f t="shared" ref="AE68:AE77" si="123">IFERROR(ROUNDDOWN(V68*AD68,0),"-")</f>
        <v>0</v>
      </c>
      <c r="AF68" s="17" t="str">
        <f t="shared" ref="AF68:AF78" si="124">IFERROR(S68/AE68,"-")</f>
        <v>-</v>
      </c>
      <c r="AG68" s="10"/>
      <c r="AH68" s="19"/>
      <c r="AI68" s="13">
        <f>IF(G68="CPI",#REF!*AH68,IFERROR(ROUNDDOWN(AE68*AH68,0),"-"))</f>
        <v>0</v>
      </c>
      <c r="AJ68" s="17" t="str">
        <f t="shared" ref="AJ68:AJ78" si="125">IFERROR(S68/AI68,"-")</f>
        <v>-</v>
      </c>
    </row>
    <row r="69" spans="1:36" ht="30.75" customHeight="1" x14ac:dyDescent="0.3">
      <c r="A69" s="10"/>
      <c r="B69" s="11"/>
      <c r="C69" s="12"/>
      <c r="D69" s="12"/>
      <c r="E69" s="10"/>
      <c r="F69" s="13" t="s">
        <v>59</v>
      </c>
      <c r="G69" s="14" t="s">
        <v>27</v>
      </c>
      <c r="H69" s="15"/>
      <c r="I69" s="16">
        <f t="shared" ref="I69:I77" si="126">IFERROR(V69*AD69,"-")</f>
        <v>0</v>
      </c>
      <c r="J69" s="10"/>
      <c r="K69" s="17"/>
      <c r="L69" s="12"/>
      <c r="M69" s="17"/>
      <c r="N69" s="17">
        <f t="shared" si="115"/>
        <v>0</v>
      </c>
      <c r="O69" s="18"/>
      <c r="P69" s="17">
        <f t="shared" si="116"/>
        <v>0</v>
      </c>
      <c r="Q69" s="19"/>
      <c r="R69" s="17">
        <f t="shared" si="117"/>
        <v>0</v>
      </c>
      <c r="S69" s="17">
        <f t="shared" si="118"/>
        <v>0</v>
      </c>
      <c r="T69" s="18" t="str">
        <f t="shared" si="119"/>
        <v>-</v>
      </c>
      <c r="U69" s="10"/>
      <c r="V69" s="20"/>
      <c r="W69" s="16"/>
      <c r="X69" s="13" t="s">
        <v>29</v>
      </c>
      <c r="Y69" s="17" t="str">
        <f t="shared" si="120"/>
        <v>-</v>
      </c>
      <c r="Z69" s="17" t="str">
        <f t="shared" si="121"/>
        <v>-</v>
      </c>
      <c r="AA69" s="16"/>
      <c r="AB69" s="18" t="str">
        <f t="shared" si="122"/>
        <v>-</v>
      </c>
      <c r="AC69" s="10"/>
      <c r="AD69" s="19"/>
      <c r="AE69" s="13">
        <f t="shared" si="123"/>
        <v>0</v>
      </c>
      <c r="AF69" s="17" t="str">
        <f t="shared" si="124"/>
        <v>-</v>
      </c>
      <c r="AG69" s="10"/>
      <c r="AH69" s="19"/>
      <c r="AI69" s="13">
        <f>IF(G69="CPI",#REF!*AH69,IFERROR(ROUNDDOWN(AE69*AH69,0),"-"))</f>
        <v>0</v>
      </c>
      <c r="AJ69" s="17" t="str">
        <f t="shared" si="125"/>
        <v>-</v>
      </c>
    </row>
    <row r="70" spans="1:36" ht="30.75" customHeight="1" x14ac:dyDescent="0.3">
      <c r="A70" s="10"/>
      <c r="B70" s="11"/>
      <c r="C70" s="12"/>
      <c r="D70" s="12"/>
      <c r="E70" s="10"/>
      <c r="F70" s="13" t="s">
        <v>59</v>
      </c>
      <c r="G70" s="14" t="s">
        <v>27</v>
      </c>
      <c r="H70" s="15"/>
      <c r="I70" s="16">
        <f t="shared" ref="I70:I74" si="127">IFERROR(V70*AD70,"-")</f>
        <v>0</v>
      </c>
      <c r="J70" s="10"/>
      <c r="K70" s="17"/>
      <c r="L70" s="12"/>
      <c r="M70" s="17"/>
      <c r="N70" s="17">
        <f t="shared" ref="N70:N74" si="128">IFERROR((H70*I70),"-")</f>
        <v>0</v>
      </c>
      <c r="O70" s="18"/>
      <c r="P70" s="17">
        <f t="shared" ref="P70:P74" si="129">IFERROR(N70*(1-O70),"-")</f>
        <v>0</v>
      </c>
      <c r="Q70" s="19"/>
      <c r="R70" s="17">
        <f t="shared" ref="R70:R74" si="130">IFERROR(P70*(1+Q70),"-")</f>
        <v>0</v>
      </c>
      <c r="S70" s="17">
        <f t="shared" si="118"/>
        <v>0</v>
      </c>
      <c r="T70" s="18" t="str">
        <f t="shared" ref="T70:T74" si="131">IFERROR(S70/$S$13,"-")</f>
        <v>-</v>
      </c>
      <c r="U70" s="10"/>
      <c r="V70" s="20"/>
      <c r="W70" s="16"/>
      <c r="X70" s="13" t="s">
        <v>29</v>
      </c>
      <c r="Y70" s="17" t="str">
        <f t="shared" ref="Y70:Y74" si="132">IFERROR(S70/V70*1000,"-")</f>
        <v>-</v>
      </c>
      <c r="Z70" s="17" t="str">
        <f t="shared" ref="Z70:Z74" si="133">IFERROR(S70/X70*1000,"-")</f>
        <v>-</v>
      </c>
      <c r="AA70" s="16"/>
      <c r="AB70" s="18" t="str">
        <f t="shared" ref="AB70:AB74" si="134">IFERROR(X70/AA70,"-")</f>
        <v>-</v>
      </c>
      <c r="AC70" s="10"/>
      <c r="AD70" s="19"/>
      <c r="AE70" s="13">
        <f t="shared" ref="AE70:AE74" si="135">IFERROR(ROUNDDOWN(V70*AD70,0),"-")</f>
        <v>0</v>
      </c>
      <c r="AF70" s="17" t="str">
        <f t="shared" ref="AF70:AF74" si="136">IFERROR(S70/AE70,"-")</f>
        <v>-</v>
      </c>
      <c r="AG70" s="10"/>
      <c r="AH70" s="19"/>
      <c r="AI70" s="13">
        <f>IF(G70="CPI",#REF!*AH70,IFERROR(ROUNDDOWN(AE70*AH70,0),"-"))</f>
        <v>0</v>
      </c>
      <c r="AJ70" s="17" t="str">
        <f t="shared" ref="AJ70:AJ74" si="137">IFERROR(S70/AI70,"-")</f>
        <v>-</v>
      </c>
    </row>
    <row r="71" spans="1:36" ht="30.75" customHeight="1" x14ac:dyDescent="0.3">
      <c r="A71" s="10"/>
      <c r="B71" s="11"/>
      <c r="C71" s="12"/>
      <c r="D71" s="12"/>
      <c r="E71" s="10"/>
      <c r="F71" s="13" t="s">
        <v>59</v>
      </c>
      <c r="G71" s="14" t="s">
        <v>27</v>
      </c>
      <c r="H71" s="15"/>
      <c r="I71" s="16">
        <f t="shared" si="127"/>
        <v>0</v>
      </c>
      <c r="J71" s="10"/>
      <c r="K71" s="17"/>
      <c r="L71" s="12"/>
      <c r="M71" s="17"/>
      <c r="N71" s="17">
        <f t="shared" si="128"/>
        <v>0</v>
      </c>
      <c r="O71" s="18"/>
      <c r="P71" s="17">
        <f t="shared" si="129"/>
        <v>0</v>
      </c>
      <c r="Q71" s="19"/>
      <c r="R71" s="17">
        <f t="shared" si="130"/>
        <v>0</v>
      </c>
      <c r="S71" s="17">
        <f t="shared" si="118"/>
        <v>0</v>
      </c>
      <c r="T71" s="18" t="str">
        <f t="shared" si="131"/>
        <v>-</v>
      </c>
      <c r="U71" s="10"/>
      <c r="V71" s="20"/>
      <c r="W71" s="16"/>
      <c r="X71" s="13" t="s">
        <v>29</v>
      </c>
      <c r="Y71" s="17" t="str">
        <f t="shared" si="132"/>
        <v>-</v>
      </c>
      <c r="Z71" s="17" t="str">
        <f t="shared" si="133"/>
        <v>-</v>
      </c>
      <c r="AA71" s="16"/>
      <c r="AB71" s="18" t="str">
        <f t="shared" si="134"/>
        <v>-</v>
      </c>
      <c r="AC71" s="10"/>
      <c r="AD71" s="19"/>
      <c r="AE71" s="13">
        <f t="shared" si="135"/>
        <v>0</v>
      </c>
      <c r="AF71" s="17" t="str">
        <f t="shared" si="136"/>
        <v>-</v>
      </c>
      <c r="AG71" s="10"/>
      <c r="AH71" s="19"/>
      <c r="AI71" s="13">
        <f>IF(G71="CPI",#REF!*AH71,IFERROR(ROUNDDOWN(AE71*AH71,0),"-"))</f>
        <v>0</v>
      </c>
      <c r="AJ71" s="17" t="str">
        <f t="shared" si="137"/>
        <v>-</v>
      </c>
    </row>
    <row r="72" spans="1:36" ht="30.75" customHeight="1" x14ac:dyDescent="0.3">
      <c r="A72" s="10"/>
      <c r="B72" s="11"/>
      <c r="C72" s="12"/>
      <c r="D72" s="12"/>
      <c r="E72" s="10"/>
      <c r="F72" s="13" t="s">
        <v>59</v>
      </c>
      <c r="G72" s="14" t="s">
        <v>27</v>
      </c>
      <c r="H72" s="15"/>
      <c r="I72" s="16">
        <f t="shared" si="127"/>
        <v>0</v>
      </c>
      <c r="J72" s="10"/>
      <c r="K72" s="17"/>
      <c r="L72" s="12"/>
      <c r="M72" s="17"/>
      <c r="N72" s="17">
        <f t="shared" si="128"/>
        <v>0</v>
      </c>
      <c r="O72" s="18"/>
      <c r="P72" s="17">
        <f t="shared" si="129"/>
        <v>0</v>
      </c>
      <c r="Q72" s="19"/>
      <c r="R72" s="17">
        <f t="shared" si="130"/>
        <v>0</v>
      </c>
      <c r="S72" s="17">
        <f t="shared" si="118"/>
        <v>0</v>
      </c>
      <c r="T72" s="18" t="str">
        <f t="shared" si="131"/>
        <v>-</v>
      </c>
      <c r="U72" s="10"/>
      <c r="V72" s="20"/>
      <c r="W72" s="16"/>
      <c r="X72" s="13" t="s">
        <v>29</v>
      </c>
      <c r="Y72" s="17" t="str">
        <f t="shared" si="132"/>
        <v>-</v>
      </c>
      <c r="Z72" s="17" t="str">
        <f t="shared" si="133"/>
        <v>-</v>
      </c>
      <c r="AA72" s="16"/>
      <c r="AB72" s="18" t="str">
        <f t="shared" si="134"/>
        <v>-</v>
      </c>
      <c r="AC72" s="10"/>
      <c r="AD72" s="19"/>
      <c r="AE72" s="13">
        <f t="shared" si="135"/>
        <v>0</v>
      </c>
      <c r="AF72" s="17" t="str">
        <f t="shared" si="136"/>
        <v>-</v>
      </c>
      <c r="AG72" s="10"/>
      <c r="AH72" s="19"/>
      <c r="AI72" s="13">
        <f>IF(G72="CPI",#REF!*AH72,IFERROR(ROUNDDOWN(AE72*AH72,0),"-"))</f>
        <v>0</v>
      </c>
      <c r="AJ72" s="17" t="str">
        <f t="shared" si="137"/>
        <v>-</v>
      </c>
    </row>
    <row r="73" spans="1:36" ht="30.75" customHeight="1" x14ac:dyDescent="0.3">
      <c r="A73" s="10"/>
      <c r="B73" s="11"/>
      <c r="C73" s="12"/>
      <c r="D73" s="12"/>
      <c r="E73" s="10"/>
      <c r="F73" s="13" t="s">
        <v>59</v>
      </c>
      <c r="G73" s="14" t="s">
        <v>27</v>
      </c>
      <c r="H73" s="15"/>
      <c r="I73" s="16">
        <f t="shared" si="127"/>
        <v>0</v>
      </c>
      <c r="J73" s="10"/>
      <c r="K73" s="17"/>
      <c r="L73" s="12"/>
      <c r="M73" s="17"/>
      <c r="N73" s="17">
        <f t="shared" si="128"/>
        <v>0</v>
      </c>
      <c r="O73" s="18"/>
      <c r="P73" s="17">
        <f t="shared" si="129"/>
        <v>0</v>
      </c>
      <c r="Q73" s="19"/>
      <c r="R73" s="17">
        <f t="shared" si="130"/>
        <v>0</v>
      </c>
      <c r="S73" s="17">
        <f t="shared" si="118"/>
        <v>0</v>
      </c>
      <c r="T73" s="18" t="str">
        <f t="shared" si="131"/>
        <v>-</v>
      </c>
      <c r="U73" s="10"/>
      <c r="V73" s="20"/>
      <c r="W73" s="16"/>
      <c r="X73" s="13" t="s">
        <v>29</v>
      </c>
      <c r="Y73" s="17" t="str">
        <f t="shared" si="132"/>
        <v>-</v>
      </c>
      <c r="Z73" s="17" t="str">
        <f t="shared" si="133"/>
        <v>-</v>
      </c>
      <c r="AA73" s="16"/>
      <c r="AB73" s="18" t="str">
        <f t="shared" si="134"/>
        <v>-</v>
      </c>
      <c r="AC73" s="10"/>
      <c r="AD73" s="19"/>
      <c r="AE73" s="13">
        <f t="shared" si="135"/>
        <v>0</v>
      </c>
      <c r="AF73" s="17" t="str">
        <f t="shared" si="136"/>
        <v>-</v>
      </c>
      <c r="AG73" s="10"/>
      <c r="AH73" s="19"/>
      <c r="AI73" s="13">
        <f>IF(G73="CPI",#REF!*AH73,IFERROR(ROUNDDOWN(AE73*AH73,0),"-"))</f>
        <v>0</v>
      </c>
      <c r="AJ73" s="17" t="str">
        <f t="shared" si="137"/>
        <v>-</v>
      </c>
    </row>
    <row r="74" spans="1:36" ht="30.75" customHeight="1" x14ac:dyDescent="0.3">
      <c r="A74" s="10"/>
      <c r="B74" s="11"/>
      <c r="C74" s="12"/>
      <c r="D74" s="12"/>
      <c r="E74" s="10"/>
      <c r="F74" s="13" t="s">
        <v>59</v>
      </c>
      <c r="G74" s="14" t="s">
        <v>27</v>
      </c>
      <c r="H74" s="15"/>
      <c r="I74" s="16">
        <f t="shared" si="127"/>
        <v>0</v>
      </c>
      <c r="J74" s="10"/>
      <c r="K74" s="17"/>
      <c r="L74" s="12"/>
      <c r="M74" s="17"/>
      <c r="N74" s="17">
        <f t="shared" si="128"/>
        <v>0</v>
      </c>
      <c r="O74" s="18"/>
      <c r="P74" s="17">
        <f t="shared" si="129"/>
        <v>0</v>
      </c>
      <c r="Q74" s="19"/>
      <c r="R74" s="17">
        <f t="shared" si="130"/>
        <v>0</v>
      </c>
      <c r="S74" s="17">
        <f t="shared" si="118"/>
        <v>0</v>
      </c>
      <c r="T74" s="18" t="str">
        <f t="shared" si="131"/>
        <v>-</v>
      </c>
      <c r="U74" s="10"/>
      <c r="V74" s="20"/>
      <c r="W74" s="16"/>
      <c r="X74" s="13" t="s">
        <v>29</v>
      </c>
      <c r="Y74" s="17" t="str">
        <f t="shared" si="132"/>
        <v>-</v>
      </c>
      <c r="Z74" s="17" t="str">
        <f t="shared" si="133"/>
        <v>-</v>
      </c>
      <c r="AA74" s="16"/>
      <c r="AB74" s="18" t="str">
        <f t="shared" si="134"/>
        <v>-</v>
      </c>
      <c r="AC74" s="10"/>
      <c r="AD74" s="19"/>
      <c r="AE74" s="13">
        <f t="shared" si="135"/>
        <v>0</v>
      </c>
      <c r="AF74" s="17" t="str">
        <f t="shared" si="136"/>
        <v>-</v>
      </c>
      <c r="AG74" s="10"/>
      <c r="AH74" s="19"/>
      <c r="AI74" s="13">
        <f>IF(G74="CPI",#REF!*AH74,IFERROR(ROUNDDOWN(AE74*AH74,0),"-"))</f>
        <v>0</v>
      </c>
      <c r="AJ74" s="17" t="str">
        <f t="shared" si="137"/>
        <v>-</v>
      </c>
    </row>
    <row r="75" spans="1:36" ht="30.75" customHeight="1" x14ac:dyDescent="0.3">
      <c r="A75" s="10"/>
      <c r="B75" s="11"/>
      <c r="C75" s="12"/>
      <c r="D75" s="12"/>
      <c r="E75" s="10"/>
      <c r="F75" s="13" t="s">
        <v>59</v>
      </c>
      <c r="G75" s="14" t="s">
        <v>27</v>
      </c>
      <c r="H75" s="15"/>
      <c r="I75" s="16">
        <f t="shared" si="126"/>
        <v>0</v>
      </c>
      <c r="J75" s="10"/>
      <c r="K75" s="17"/>
      <c r="L75" s="12"/>
      <c r="M75" s="17"/>
      <c r="N75" s="17">
        <f t="shared" si="115"/>
        <v>0</v>
      </c>
      <c r="O75" s="18"/>
      <c r="P75" s="17">
        <f t="shared" si="116"/>
        <v>0</v>
      </c>
      <c r="Q75" s="19"/>
      <c r="R75" s="17">
        <f t="shared" si="117"/>
        <v>0</v>
      </c>
      <c r="S75" s="17">
        <f t="shared" si="118"/>
        <v>0</v>
      </c>
      <c r="T75" s="18" t="str">
        <f t="shared" si="119"/>
        <v>-</v>
      </c>
      <c r="U75" s="10"/>
      <c r="V75" s="20"/>
      <c r="W75" s="16"/>
      <c r="X75" s="13" t="s">
        <v>29</v>
      </c>
      <c r="Y75" s="17" t="str">
        <f t="shared" si="120"/>
        <v>-</v>
      </c>
      <c r="Z75" s="17" t="str">
        <f t="shared" si="121"/>
        <v>-</v>
      </c>
      <c r="AA75" s="16"/>
      <c r="AB75" s="18" t="str">
        <f t="shared" si="122"/>
        <v>-</v>
      </c>
      <c r="AC75" s="10"/>
      <c r="AD75" s="19"/>
      <c r="AE75" s="13">
        <f t="shared" si="123"/>
        <v>0</v>
      </c>
      <c r="AF75" s="17" t="str">
        <f t="shared" si="124"/>
        <v>-</v>
      </c>
      <c r="AG75" s="10"/>
      <c r="AH75" s="19"/>
      <c r="AI75" s="13">
        <f>IF(G75="CPI",#REF!*AH75,IFERROR(ROUNDDOWN(AE75*AH75,0),"-"))</f>
        <v>0</v>
      </c>
      <c r="AJ75" s="17" t="str">
        <f t="shared" si="125"/>
        <v>-</v>
      </c>
    </row>
    <row r="76" spans="1:36" ht="30.75" customHeight="1" x14ac:dyDescent="0.3">
      <c r="A76" s="10"/>
      <c r="B76" s="11"/>
      <c r="C76" s="12"/>
      <c r="D76" s="12"/>
      <c r="E76" s="10"/>
      <c r="F76" s="13" t="s">
        <v>59</v>
      </c>
      <c r="G76" s="14" t="s">
        <v>27</v>
      </c>
      <c r="H76" s="15"/>
      <c r="I76" s="16">
        <f t="shared" si="126"/>
        <v>0</v>
      </c>
      <c r="J76" s="10"/>
      <c r="K76" s="17"/>
      <c r="L76" s="12"/>
      <c r="M76" s="17"/>
      <c r="N76" s="17">
        <f t="shared" si="115"/>
        <v>0</v>
      </c>
      <c r="O76" s="18"/>
      <c r="P76" s="17">
        <f t="shared" si="116"/>
        <v>0</v>
      </c>
      <c r="Q76" s="19"/>
      <c r="R76" s="17">
        <f t="shared" si="117"/>
        <v>0</v>
      </c>
      <c r="S76" s="17">
        <f t="shared" si="118"/>
        <v>0</v>
      </c>
      <c r="T76" s="18" t="str">
        <f t="shared" si="119"/>
        <v>-</v>
      </c>
      <c r="U76" s="10"/>
      <c r="V76" s="20"/>
      <c r="W76" s="16"/>
      <c r="X76" s="13" t="s">
        <v>29</v>
      </c>
      <c r="Y76" s="17" t="str">
        <f t="shared" si="120"/>
        <v>-</v>
      </c>
      <c r="Z76" s="17" t="str">
        <f t="shared" si="121"/>
        <v>-</v>
      </c>
      <c r="AA76" s="16"/>
      <c r="AB76" s="18" t="str">
        <f t="shared" si="122"/>
        <v>-</v>
      </c>
      <c r="AC76" s="10"/>
      <c r="AD76" s="19"/>
      <c r="AE76" s="13">
        <f t="shared" si="123"/>
        <v>0</v>
      </c>
      <c r="AF76" s="17" t="str">
        <f t="shared" si="124"/>
        <v>-</v>
      </c>
      <c r="AG76" s="10"/>
      <c r="AH76" s="19"/>
      <c r="AI76" s="13">
        <f>IF(G76="CPI",#REF!*AH76,IFERROR(ROUNDDOWN(AE76*AH76,0),"-"))</f>
        <v>0</v>
      </c>
      <c r="AJ76" s="17" t="str">
        <f t="shared" si="125"/>
        <v>-</v>
      </c>
    </row>
    <row r="77" spans="1:36" ht="30.75" customHeight="1" x14ac:dyDescent="0.3">
      <c r="A77" s="10"/>
      <c r="B77" s="11"/>
      <c r="C77" s="12"/>
      <c r="D77" s="12"/>
      <c r="E77" s="10"/>
      <c r="F77" s="13" t="s">
        <v>59</v>
      </c>
      <c r="G77" s="14" t="s">
        <v>27</v>
      </c>
      <c r="H77" s="15"/>
      <c r="I77" s="16">
        <f t="shared" si="126"/>
        <v>0</v>
      </c>
      <c r="J77" s="10"/>
      <c r="K77" s="17"/>
      <c r="L77" s="12"/>
      <c r="M77" s="17"/>
      <c r="N77" s="17">
        <f t="shared" si="115"/>
        <v>0</v>
      </c>
      <c r="O77" s="18"/>
      <c r="P77" s="17">
        <f t="shared" si="116"/>
        <v>0</v>
      </c>
      <c r="Q77" s="19"/>
      <c r="R77" s="17">
        <f t="shared" si="117"/>
        <v>0</v>
      </c>
      <c r="S77" s="17">
        <f t="shared" si="118"/>
        <v>0</v>
      </c>
      <c r="T77" s="18" t="str">
        <f t="shared" si="119"/>
        <v>-</v>
      </c>
      <c r="U77" s="10"/>
      <c r="V77" s="20"/>
      <c r="W77" s="16"/>
      <c r="X77" s="13" t="s">
        <v>29</v>
      </c>
      <c r="Y77" s="17" t="str">
        <f t="shared" si="120"/>
        <v>-</v>
      </c>
      <c r="Z77" s="17" t="str">
        <f t="shared" si="121"/>
        <v>-</v>
      </c>
      <c r="AA77" s="16"/>
      <c r="AB77" s="18" t="str">
        <f t="shared" si="122"/>
        <v>-</v>
      </c>
      <c r="AC77" s="10"/>
      <c r="AD77" s="19"/>
      <c r="AE77" s="13">
        <f t="shared" si="123"/>
        <v>0</v>
      </c>
      <c r="AF77" s="17" t="str">
        <f t="shared" si="124"/>
        <v>-</v>
      </c>
      <c r="AG77" s="10"/>
      <c r="AH77" s="19"/>
      <c r="AI77" s="13">
        <f>IF(G77="CPI",#REF!*AH77,IFERROR(ROUNDDOWN(AE77*AH77,0),"-"))</f>
        <v>0</v>
      </c>
      <c r="AJ77" s="17" t="str">
        <f t="shared" si="125"/>
        <v>-</v>
      </c>
    </row>
    <row r="78" spans="1:36" ht="17.25" customHeight="1" x14ac:dyDescent="0.3">
      <c r="A78" s="22"/>
      <c r="B78" s="6" t="s">
        <v>28</v>
      </c>
      <c r="C78" s="9" t="s">
        <v>29</v>
      </c>
      <c r="D78" s="9" t="s">
        <v>29</v>
      </c>
      <c r="E78" s="22"/>
      <c r="F78" s="9" t="s">
        <v>29</v>
      </c>
      <c r="G78" s="6" t="s">
        <v>29</v>
      </c>
      <c r="H78" s="5" t="str">
        <f>IFERROR(N78/I78,"-")</f>
        <v>-</v>
      </c>
      <c r="I78" s="25">
        <f>IFERROR(SUM(I68:I77),"-")</f>
        <v>0</v>
      </c>
      <c r="J78" s="22"/>
      <c r="K78" s="23"/>
      <c r="L78" s="6"/>
      <c r="M78" s="23"/>
      <c r="N78" s="23">
        <f>IFERROR(SUM(N68:N77),"-")</f>
        <v>0</v>
      </c>
      <c r="O78" s="6" t="s">
        <v>29</v>
      </c>
      <c r="P78" s="23">
        <f>IFERROR(SUM(P68:P77),"-")</f>
        <v>0</v>
      </c>
      <c r="Q78" s="9" t="s">
        <v>29</v>
      </c>
      <c r="R78" s="23">
        <f>IFERROR(SUM(R68:R77),"-")</f>
        <v>0</v>
      </c>
      <c r="S78" s="23">
        <f t="shared" si="118"/>
        <v>0</v>
      </c>
      <c r="T78" s="24">
        <v>0</v>
      </c>
      <c r="U78" s="22"/>
      <c r="V78" s="25">
        <f>IFERROR(SUM(V68:V77),"-")</f>
        <v>0</v>
      </c>
      <c r="W78" s="25" t="s">
        <v>29</v>
      </c>
      <c r="X78" s="25" t="s">
        <v>29</v>
      </c>
      <c r="Y78" s="23" t="str">
        <f t="shared" si="120"/>
        <v>-</v>
      </c>
      <c r="Z78" s="23" t="str">
        <f t="shared" si="121"/>
        <v>-</v>
      </c>
      <c r="AA78" s="6" t="s">
        <v>29</v>
      </c>
      <c r="AB78" s="6" t="s">
        <v>29</v>
      </c>
      <c r="AC78" s="22"/>
      <c r="AD78" s="24" t="str">
        <f>IFERROR(AE78/V78,"-")</f>
        <v>-</v>
      </c>
      <c r="AE78" s="25">
        <f>IFERROR(SUM(AE68:AE77),"-")</f>
        <v>0</v>
      </c>
      <c r="AF78" s="23" t="str">
        <f t="shared" si="124"/>
        <v>-</v>
      </c>
      <c r="AG78" s="22"/>
      <c r="AH78" s="24" t="str">
        <f>IFERROR(AI78/AE78,"-")</f>
        <v>-</v>
      </c>
      <c r="AI78" s="25">
        <f>IFERROR(SUM(AI68:AI77),"-")</f>
        <v>0</v>
      </c>
      <c r="AJ78" s="23" t="str">
        <f t="shared" si="125"/>
        <v>-</v>
      </c>
    </row>
    <row r="79" spans="1:36" ht="15.75" customHeight="1" x14ac:dyDescent="0.3">
      <c r="A79" s="33"/>
      <c r="B79" s="34"/>
      <c r="C79" s="34"/>
      <c r="D79" s="34"/>
      <c r="E79" s="33"/>
      <c r="F79" s="34"/>
      <c r="G79" s="34"/>
      <c r="H79" s="34"/>
      <c r="I79" s="34"/>
      <c r="J79" s="33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3"/>
      <c r="V79" s="34"/>
      <c r="W79" s="34"/>
      <c r="X79" s="34"/>
      <c r="Y79" s="34"/>
      <c r="Z79" s="34"/>
      <c r="AA79" s="34"/>
      <c r="AB79" s="34"/>
      <c r="AC79" s="33"/>
      <c r="AD79" s="34"/>
      <c r="AE79" s="34"/>
      <c r="AF79" s="34"/>
      <c r="AG79" s="33"/>
      <c r="AH79" s="34"/>
      <c r="AI79" s="34"/>
      <c r="AJ79" s="34"/>
    </row>
    <row r="80" spans="1:36" ht="51.75" customHeight="1" x14ac:dyDescent="0.3">
      <c r="A80" s="1"/>
      <c r="B80" s="2" t="s">
        <v>0</v>
      </c>
      <c r="C80" s="2" t="s">
        <v>1</v>
      </c>
      <c r="D80" s="2" t="s">
        <v>2</v>
      </c>
      <c r="E80" s="1"/>
      <c r="F80" s="3" t="s">
        <v>3</v>
      </c>
      <c r="G80" s="2" t="s">
        <v>50</v>
      </c>
      <c r="H80" s="2" t="s">
        <v>51</v>
      </c>
      <c r="I80" s="2" t="s">
        <v>52</v>
      </c>
      <c r="J80" s="1"/>
      <c r="K80" s="39" t="s">
        <v>68</v>
      </c>
      <c r="L80" s="41" t="s">
        <v>69</v>
      </c>
      <c r="M80" s="39" t="s">
        <v>70</v>
      </c>
      <c r="N80" s="4" t="s">
        <v>7</v>
      </c>
      <c r="O80" s="3" t="s">
        <v>8</v>
      </c>
      <c r="P80" s="4" t="s">
        <v>9</v>
      </c>
      <c r="Q80" s="3" t="s">
        <v>10</v>
      </c>
      <c r="R80" s="5" t="s">
        <v>11</v>
      </c>
      <c r="S80" s="5" t="s">
        <v>12</v>
      </c>
      <c r="T80" s="4" t="s">
        <v>13</v>
      </c>
      <c r="U80" s="1"/>
      <c r="V80" s="2" t="s">
        <v>14</v>
      </c>
      <c r="W80" s="2" t="s">
        <v>15</v>
      </c>
      <c r="X80" s="2" t="s">
        <v>16</v>
      </c>
      <c r="Y80" s="2" t="s">
        <v>17</v>
      </c>
      <c r="Z80" s="2" t="s">
        <v>18</v>
      </c>
      <c r="AA80" s="2" t="s">
        <v>19</v>
      </c>
      <c r="AB80" s="2" t="s">
        <v>20</v>
      </c>
      <c r="AC80" s="1"/>
      <c r="AD80" s="6" t="s">
        <v>21</v>
      </c>
      <c r="AE80" s="7" t="s">
        <v>22</v>
      </c>
      <c r="AF80" s="7" t="s">
        <v>23</v>
      </c>
      <c r="AG80" s="1"/>
      <c r="AH80" s="6" t="s">
        <v>24</v>
      </c>
      <c r="AI80" s="8" t="s">
        <v>25</v>
      </c>
      <c r="AJ80" s="8" t="s">
        <v>26</v>
      </c>
    </row>
    <row r="81" spans="1:36" ht="30.75" customHeight="1" x14ac:dyDescent="0.3">
      <c r="A81" s="10"/>
      <c r="B81" s="11"/>
      <c r="C81" s="12"/>
      <c r="D81" s="12"/>
      <c r="E81" s="10"/>
      <c r="F81" s="13" t="s">
        <v>60</v>
      </c>
      <c r="G81" s="14" t="s">
        <v>27</v>
      </c>
      <c r="H81" s="15"/>
      <c r="I81" s="16">
        <f>IFERROR(V81*AD81,"-")</f>
        <v>0</v>
      </c>
      <c r="J81" s="10"/>
      <c r="K81" s="17"/>
      <c r="L81" s="12"/>
      <c r="M81" s="17"/>
      <c r="N81" s="17">
        <f t="shared" ref="N81:N90" si="138">IFERROR((H81*I81),"-")</f>
        <v>0</v>
      </c>
      <c r="O81" s="18"/>
      <c r="P81" s="17">
        <f t="shared" ref="P81:P90" si="139">IFERROR(N81*(1-O81),"-")</f>
        <v>0</v>
      </c>
      <c r="Q81" s="19"/>
      <c r="R81" s="17">
        <f t="shared" ref="R81:R90" si="140">IFERROR(P81*(1+Q81),"-")</f>
        <v>0</v>
      </c>
      <c r="S81" s="17">
        <f t="shared" ref="S81:S91" si="141">IFERROR(R81*1.22,"-")</f>
        <v>0</v>
      </c>
      <c r="T81" s="18" t="str">
        <f t="shared" ref="T81:T90" si="142">IFERROR(S81/$S$13,"-")</f>
        <v>-</v>
      </c>
      <c r="U81" s="10"/>
      <c r="V81" s="20"/>
      <c r="W81" s="16"/>
      <c r="X81" s="13" t="s">
        <v>29</v>
      </c>
      <c r="Y81" s="17" t="str">
        <f t="shared" ref="Y81:Y91" si="143">IFERROR(S81/V81*1000,"-")</f>
        <v>-</v>
      </c>
      <c r="Z81" s="17" t="str">
        <f t="shared" ref="Z81:Z91" si="144">IFERROR(S81/X81*1000,"-")</f>
        <v>-</v>
      </c>
      <c r="AA81" s="16"/>
      <c r="AB81" s="18" t="str">
        <f t="shared" ref="AB81:AB90" si="145">IFERROR(X81/AA81,"-")</f>
        <v>-</v>
      </c>
      <c r="AC81" s="10"/>
      <c r="AD81" s="19"/>
      <c r="AE81" s="13">
        <f t="shared" ref="AE81:AE90" si="146">IFERROR(ROUNDDOWN(V81*AD81,0),"-")</f>
        <v>0</v>
      </c>
      <c r="AF81" s="17" t="str">
        <f t="shared" ref="AF81:AF91" si="147">IFERROR(S81/AE81,"-")</f>
        <v>-</v>
      </c>
      <c r="AG81" s="10"/>
      <c r="AH81" s="19"/>
      <c r="AI81" s="13">
        <f>IF(G81="CPI",#REF!*AH81,IFERROR(ROUNDDOWN(AE81*AH81,0),"-"))</f>
        <v>0</v>
      </c>
      <c r="AJ81" s="17" t="str">
        <f t="shared" ref="AJ81:AJ91" si="148">IFERROR(S81/AI81,"-")</f>
        <v>-</v>
      </c>
    </row>
    <row r="82" spans="1:36" ht="30.75" customHeight="1" x14ac:dyDescent="0.3">
      <c r="A82" s="10"/>
      <c r="B82" s="11"/>
      <c r="C82" s="12"/>
      <c r="D82" s="12"/>
      <c r="E82" s="10"/>
      <c r="F82" s="13" t="s">
        <v>60</v>
      </c>
      <c r="G82" s="14" t="s">
        <v>27</v>
      </c>
      <c r="H82" s="15"/>
      <c r="I82" s="16">
        <f t="shared" ref="I82:I90" si="149">IFERROR(V82*AD82,"-")</f>
        <v>0</v>
      </c>
      <c r="J82" s="10"/>
      <c r="K82" s="17"/>
      <c r="L82" s="12"/>
      <c r="M82" s="17"/>
      <c r="N82" s="17">
        <f t="shared" si="138"/>
        <v>0</v>
      </c>
      <c r="O82" s="18"/>
      <c r="P82" s="17">
        <f t="shared" si="139"/>
        <v>0</v>
      </c>
      <c r="Q82" s="19"/>
      <c r="R82" s="17">
        <f t="shared" si="140"/>
        <v>0</v>
      </c>
      <c r="S82" s="17">
        <f t="shared" si="141"/>
        <v>0</v>
      </c>
      <c r="T82" s="18" t="str">
        <f t="shared" si="142"/>
        <v>-</v>
      </c>
      <c r="U82" s="10"/>
      <c r="V82" s="20"/>
      <c r="W82" s="16"/>
      <c r="X82" s="13" t="s">
        <v>29</v>
      </c>
      <c r="Y82" s="17" t="str">
        <f t="shared" si="143"/>
        <v>-</v>
      </c>
      <c r="Z82" s="17" t="str">
        <f t="shared" si="144"/>
        <v>-</v>
      </c>
      <c r="AA82" s="16"/>
      <c r="AB82" s="18" t="str">
        <f t="shared" si="145"/>
        <v>-</v>
      </c>
      <c r="AC82" s="10"/>
      <c r="AD82" s="19"/>
      <c r="AE82" s="13">
        <f t="shared" si="146"/>
        <v>0</v>
      </c>
      <c r="AF82" s="17" t="str">
        <f t="shared" si="147"/>
        <v>-</v>
      </c>
      <c r="AG82" s="10"/>
      <c r="AH82" s="19"/>
      <c r="AI82" s="13">
        <f>IF(G82="CPI",#REF!*AH82,IFERROR(ROUNDDOWN(AE82*AH82,0),"-"))</f>
        <v>0</v>
      </c>
      <c r="AJ82" s="17" t="str">
        <f t="shared" si="148"/>
        <v>-</v>
      </c>
    </row>
    <row r="83" spans="1:36" ht="30.75" customHeight="1" x14ac:dyDescent="0.3">
      <c r="A83" s="10"/>
      <c r="B83" s="11"/>
      <c r="C83" s="12"/>
      <c r="D83" s="12"/>
      <c r="E83" s="10"/>
      <c r="F83" s="13" t="s">
        <v>60</v>
      </c>
      <c r="G83" s="14" t="s">
        <v>27</v>
      </c>
      <c r="H83" s="15"/>
      <c r="I83" s="16">
        <f t="shared" ref="I83:I87" si="150">IFERROR(V83*AD83,"-")</f>
        <v>0</v>
      </c>
      <c r="J83" s="10"/>
      <c r="K83" s="17"/>
      <c r="L83" s="12"/>
      <c r="M83" s="17"/>
      <c r="N83" s="17">
        <f t="shared" ref="N83:N87" si="151">IFERROR((H83*I83),"-")</f>
        <v>0</v>
      </c>
      <c r="O83" s="18"/>
      <c r="P83" s="17">
        <f t="shared" ref="P83:P87" si="152">IFERROR(N83*(1-O83),"-")</f>
        <v>0</v>
      </c>
      <c r="Q83" s="19"/>
      <c r="R83" s="17">
        <f t="shared" ref="R83:R87" si="153">IFERROR(P83*(1+Q83),"-")</f>
        <v>0</v>
      </c>
      <c r="S83" s="17">
        <f t="shared" si="141"/>
        <v>0</v>
      </c>
      <c r="T83" s="18" t="str">
        <f t="shared" ref="T83:T87" si="154">IFERROR(S83/$S$13,"-")</f>
        <v>-</v>
      </c>
      <c r="U83" s="10"/>
      <c r="V83" s="20"/>
      <c r="W83" s="16"/>
      <c r="X83" s="13" t="s">
        <v>29</v>
      </c>
      <c r="Y83" s="17" t="str">
        <f t="shared" ref="Y83:Y87" si="155">IFERROR(S83/V83*1000,"-")</f>
        <v>-</v>
      </c>
      <c r="Z83" s="17" t="str">
        <f t="shared" ref="Z83:Z87" si="156">IFERROR(S83/X83*1000,"-")</f>
        <v>-</v>
      </c>
      <c r="AA83" s="16"/>
      <c r="AB83" s="18" t="str">
        <f t="shared" ref="AB83:AB87" si="157">IFERROR(X83/AA83,"-")</f>
        <v>-</v>
      </c>
      <c r="AC83" s="10"/>
      <c r="AD83" s="19"/>
      <c r="AE83" s="13">
        <f t="shared" ref="AE83:AE87" si="158">IFERROR(ROUNDDOWN(V83*AD83,0),"-")</f>
        <v>0</v>
      </c>
      <c r="AF83" s="17" t="str">
        <f t="shared" ref="AF83:AF87" si="159">IFERROR(S83/AE83,"-")</f>
        <v>-</v>
      </c>
      <c r="AG83" s="10"/>
      <c r="AH83" s="19"/>
      <c r="AI83" s="13">
        <f>IF(G83="CPI",#REF!*AH83,IFERROR(ROUNDDOWN(AE83*AH83,0),"-"))</f>
        <v>0</v>
      </c>
      <c r="AJ83" s="17" t="str">
        <f t="shared" ref="AJ83:AJ87" si="160">IFERROR(S83/AI83,"-")</f>
        <v>-</v>
      </c>
    </row>
    <row r="84" spans="1:36" ht="30.75" customHeight="1" x14ac:dyDescent="0.3">
      <c r="A84" s="10"/>
      <c r="B84" s="11"/>
      <c r="C84" s="12"/>
      <c r="D84" s="12"/>
      <c r="E84" s="10"/>
      <c r="F84" s="13" t="s">
        <v>60</v>
      </c>
      <c r="G84" s="14" t="s">
        <v>27</v>
      </c>
      <c r="H84" s="15"/>
      <c r="I84" s="16">
        <f t="shared" si="150"/>
        <v>0</v>
      </c>
      <c r="J84" s="10"/>
      <c r="K84" s="17"/>
      <c r="L84" s="12"/>
      <c r="M84" s="17"/>
      <c r="N84" s="17">
        <f t="shared" si="151"/>
        <v>0</v>
      </c>
      <c r="O84" s="18"/>
      <c r="P84" s="17">
        <f t="shared" si="152"/>
        <v>0</v>
      </c>
      <c r="Q84" s="19"/>
      <c r="R84" s="17">
        <f t="shared" si="153"/>
        <v>0</v>
      </c>
      <c r="S84" s="17">
        <f t="shared" si="141"/>
        <v>0</v>
      </c>
      <c r="T84" s="18" t="str">
        <f t="shared" si="154"/>
        <v>-</v>
      </c>
      <c r="U84" s="10"/>
      <c r="V84" s="20"/>
      <c r="W84" s="16"/>
      <c r="X84" s="13" t="s">
        <v>29</v>
      </c>
      <c r="Y84" s="17" t="str">
        <f t="shared" si="155"/>
        <v>-</v>
      </c>
      <c r="Z84" s="17" t="str">
        <f t="shared" si="156"/>
        <v>-</v>
      </c>
      <c r="AA84" s="16"/>
      <c r="AB84" s="18" t="str">
        <f t="shared" si="157"/>
        <v>-</v>
      </c>
      <c r="AC84" s="10"/>
      <c r="AD84" s="19"/>
      <c r="AE84" s="13">
        <f t="shared" si="158"/>
        <v>0</v>
      </c>
      <c r="AF84" s="17" t="str">
        <f t="shared" si="159"/>
        <v>-</v>
      </c>
      <c r="AG84" s="10"/>
      <c r="AH84" s="19"/>
      <c r="AI84" s="13">
        <f>IF(G84="CPI",#REF!*AH84,IFERROR(ROUNDDOWN(AE84*AH84,0),"-"))</f>
        <v>0</v>
      </c>
      <c r="AJ84" s="17" t="str">
        <f t="shared" si="160"/>
        <v>-</v>
      </c>
    </row>
    <row r="85" spans="1:36" ht="30.75" customHeight="1" x14ac:dyDescent="0.3">
      <c r="A85" s="10"/>
      <c r="B85" s="11"/>
      <c r="C85" s="12"/>
      <c r="D85" s="12"/>
      <c r="E85" s="10"/>
      <c r="F85" s="13" t="s">
        <v>60</v>
      </c>
      <c r="G85" s="14" t="s">
        <v>27</v>
      </c>
      <c r="H85" s="15"/>
      <c r="I85" s="16">
        <f t="shared" si="150"/>
        <v>0</v>
      </c>
      <c r="J85" s="10"/>
      <c r="K85" s="17"/>
      <c r="L85" s="12"/>
      <c r="M85" s="17"/>
      <c r="N85" s="17">
        <f t="shared" si="151"/>
        <v>0</v>
      </c>
      <c r="O85" s="18"/>
      <c r="P85" s="17">
        <f t="shared" si="152"/>
        <v>0</v>
      </c>
      <c r="Q85" s="19"/>
      <c r="R85" s="17">
        <f t="shared" si="153"/>
        <v>0</v>
      </c>
      <c r="S85" s="17">
        <f t="shared" si="141"/>
        <v>0</v>
      </c>
      <c r="T85" s="18" t="str">
        <f t="shared" si="154"/>
        <v>-</v>
      </c>
      <c r="U85" s="10"/>
      <c r="V85" s="20"/>
      <c r="W85" s="16"/>
      <c r="X85" s="13" t="s">
        <v>29</v>
      </c>
      <c r="Y85" s="17" t="str">
        <f t="shared" si="155"/>
        <v>-</v>
      </c>
      <c r="Z85" s="17" t="str">
        <f t="shared" si="156"/>
        <v>-</v>
      </c>
      <c r="AA85" s="16"/>
      <c r="AB85" s="18" t="str">
        <f t="shared" si="157"/>
        <v>-</v>
      </c>
      <c r="AC85" s="10"/>
      <c r="AD85" s="19"/>
      <c r="AE85" s="13">
        <f t="shared" si="158"/>
        <v>0</v>
      </c>
      <c r="AF85" s="17" t="str">
        <f t="shared" si="159"/>
        <v>-</v>
      </c>
      <c r="AG85" s="10"/>
      <c r="AH85" s="19"/>
      <c r="AI85" s="13">
        <f>IF(G85="CPI",#REF!*AH85,IFERROR(ROUNDDOWN(AE85*AH85,0),"-"))</f>
        <v>0</v>
      </c>
      <c r="AJ85" s="17" t="str">
        <f t="shared" si="160"/>
        <v>-</v>
      </c>
    </row>
    <row r="86" spans="1:36" ht="30.75" customHeight="1" x14ac:dyDescent="0.3">
      <c r="A86" s="10"/>
      <c r="B86" s="11"/>
      <c r="C86" s="12"/>
      <c r="D86" s="12"/>
      <c r="E86" s="10"/>
      <c r="F86" s="13" t="s">
        <v>60</v>
      </c>
      <c r="G86" s="14" t="s">
        <v>27</v>
      </c>
      <c r="H86" s="15"/>
      <c r="I86" s="16">
        <f t="shared" si="150"/>
        <v>0</v>
      </c>
      <c r="J86" s="10"/>
      <c r="K86" s="17"/>
      <c r="L86" s="12"/>
      <c r="M86" s="17"/>
      <c r="N86" s="17">
        <f t="shared" si="151"/>
        <v>0</v>
      </c>
      <c r="O86" s="18"/>
      <c r="P86" s="17">
        <f t="shared" si="152"/>
        <v>0</v>
      </c>
      <c r="Q86" s="19"/>
      <c r="R86" s="17">
        <f t="shared" si="153"/>
        <v>0</v>
      </c>
      <c r="S86" s="17">
        <f t="shared" si="141"/>
        <v>0</v>
      </c>
      <c r="T86" s="18" t="str">
        <f t="shared" si="154"/>
        <v>-</v>
      </c>
      <c r="U86" s="10"/>
      <c r="V86" s="20"/>
      <c r="W86" s="16"/>
      <c r="X86" s="13" t="s">
        <v>29</v>
      </c>
      <c r="Y86" s="17" t="str">
        <f t="shared" si="155"/>
        <v>-</v>
      </c>
      <c r="Z86" s="17" t="str">
        <f t="shared" si="156"/>
        <v>-</v>
      </c>
      <c r="AA86" s="16"/>
      <c r="AB86" s="18" t="str">
        <f t="shared" si="157"/>
        <v>-</v>
      </c>
      <c r="AC86" s="10"/>
      <c r="AD86" s="19"/>
      <c r="AE86" s="13">
        <f t="shared" si="158"/>
        <v>0</v>
      </c>
      <c r="AF86" s="17" t="str">
        <f t="shared" si="159"/>
        <v>-</v>
      </c>
      <c r="AG86" s="10"/>
      <c r="AH86" s="19"/>
      <c r="AI86" s="13">
        <f>IF(G86="CPI",#REF!*AH86,IFERROR(ROUNDDOWN(AE86*AH86,0),"-"))</f>
        <v>0</v>
      </c>
      <c r="AJ86" s="17" t="str">
        <f t="shared" si="160"/>
        <v>-</v>
      </c>
    </row>
    <row r="87" spans="1:36" ht="30.75" customHeight="1" x14ac:dyDescent="0.3">
      <c r="A87" s="10"/>
      <c r="B87" s="11"/>
      <c r="C87" s="12"/>
      <c r="D87" s="12"/>
      <c r="E87" s="10"/>
      <c r="F87" s="13" t="s">
        <v>60</v>
      </c>
      <c r="G87" s="14" t="s">
        <v>27</v>
      </c>
      <c r="H87" s="15"/>
      <c r="I87" s="16">
        <f t="shared" si="150"/>
        <v>0</v>
      </c>
      <c r="J87" s="10"/>
      <c r="K87" s="17"/>
      <c r="L87" s="12"/>
      <c r="M87" s="17"/>
      <c r="N87" s="17">
        <f t="shared" si="151"/>
        <v>0</v>
      </c>
      <c r="O87" s="18"/>
      <c r="P87" s="17">
        <f t="shared" si="152"/>
        <v>0</v>
      </c>
      <c r="Q87" s="19"/>
      <c r="R87" s="17">
        <f t="shared" si="153"/>
        <v>0</v>
      </c>
      <c r="S87" s="17">
        <f t="shared" si="141"/>
        <v>0</v>
      </c>
      <c r="T87" s="18" t="str">
        <f t="shared" si="154"/>
        <v>-</v>
      </c>
      <c r="U87" s="10"/>
      <c r="V87" s="20"/>
      <c r="W87" s="16"/>
      <c r="X87" s="13" t="s">
        <v>29</v>
      </c>
      <c r="Y87" s="17" t="str">
        <f t="shared" si="155"/>
        <v>-</v>
      </c>
      <c r="Z87" s="17" t="str">
        <f t="shared" si="156"/>
        <v>-</v>
      </c>
      <c r="AA87" s="16"/>
      <c r="AB87" s="18" t="str">
        <f t="shared" si="157"/>
        <v>-</v>
      </c>
      <c r="AC87" s="10"/>
      <c r="AD87" s="19"/>
      <c r="AE87" s="13">
        <f t="shared" si="158"/>
        <v>0</v>
      </c>
      <c r="AF87" s="17" t="str">
        <f t="shared" si="159"/>
        <v>-</v>
      </c>
      <c r="AG87" s="10"/>
      <c r="AH87" s="19"/>
      <c r="AI87" s="13">
        <f>IF(G87="CPI",#REF!*AH87,IFERROR(ROUNDDOWN(AE87*AH87,0),"-"))</f>
        <v>0</v>
      </c>
      <c r="AJ87" s="17" t="str">
        <f t="shared" si="160"/>
        <v>-</v>
      </c>
    </row>
    <row r="88" spans="1:36" ht="30.75" customHeight="1" x14ac:dyDescent="0.3">
      <c r="A88" s="10"/>
      <c r="B88" s="11"/>
      <c r="C88" s="12"/>
      <c r="D88" s="12"/>
      <c r="E88" s="10"/>
      <c r="F88" s="13" t="s">
        <v>60</v>
      </c>
      <c r="G88" s="14" t="s">
        <v>27</v>
      </c>
      <c r="H88" s="15"/>
      <c r="I88" s="16">
        <f t="shared" si="149"/>
        <v>0</v>
      </c>
      <c r="J88" s="10"/>
      <c r="K88" s="17"/>
      <c r="L88" s="12"/>
      <c r="M88" s="17"/>
      <c r="N88" s="17">
        <f t="shared" si="138"/>
        <v>0</v>
      </c>
      <c r="O88" s="18"/>
      <c r="P88" s="17">
        <f t="shared" si="139"/>
        <v>0</v>
      </c>
      <c r="Q88" s="19"/>
      <c r="R88" s="17">
        <f t="shared" si="140"/>
        <v>0</v>
      </c>
      <c r="S88" s="17">
        <f t="shared" si="141"/>
        <v>0</v>
      </c>
      <c r="T88" s="18" t="str">
        <f t="shared" si="142"/>
        <v>-</v>
      </c>
      <c r="U88" s="10"/>
      <c r="V88" s="20"/>
      <c r="W88" s="16"/>
      <c r="X88" s="13" t="s">
        <v>29</v>
      </c>
      <c r="Y88" s="17" t="str">
        <f t="shared" si="143"/>
        <v>-</v>
      </c>
      <c r="Z88" s="17" t="str">
        <f t="shared" si="144"/>
        <v>-</v>
      </c>
      <c r="AA88" s="16"/>
      <c r="AB88" s="18" t="str">
        <f t="shared" si="145"/>
        <v>-</v>
      </c>
      <c r="AC88" s="10"/>
      <c r="AD88" s="19"/>
      <c r="AE88" s="13">
        <f t="shared" si="146"/>
        <v>0</v>
      </c>
      <c r="AF88" s="17" t="str">
        <f t="shared" si="147"/>
        <v>-</v>
      </c>
      <c r="AG88" s="10"/>
      <c r="AH88" s="19"/>
      <c r="AI88" s="13">
        <f>IF(G88="CPI",#REF!*AH88,IFERROR(ROUNDDOWN(AE88*AH88,0),"-"))</f>
        <v>0</v>
      </c>
      <c r="AJ88" s="17" t="str">
        <f t="shared" si="148"/>
        <v>-</v>
      </c>
    </row>
    <row r="89" spans="1:36" ht="30.75" customHeight="1" x14ac:dyDescent="0.3">
      <c r="A89" s="10"/>
      <c r="B89" s="11"/>
      <c r="C89" s="12"/>
      <c r="D89" s="12"/>
      <c r="E89" s="10"/>
      <c r="F89" s="13" t="s">
        <v>60</v>
      </c>
      <c r="G89" s="14" t="s">
        <v>27</v>
      </c>
      <c r="H89" s="15"/>
      <c r="I89" s="16">
        <f t="shared" si="149"/>
        <v>0</v>
      </c>
      <c r="J89" s="10"/>
      <c r="K89" s="17"/>
      <c r="L89" s="12"/>
      <c r="M89" s="17"/>
      <c r="N89" s="17">
        <f t="shared" si="138"/>
        <v>0</v>
      </c>
      <c r="O89" s="18"/>
      <c r="P89" s="17">
        <f t="shared" si="139"/>
        <v>0</v>
      </c>
      <c r="Q89" s="19"/>
      <c r="R89" s="17">
        <f t="shared" si="140"/>
        <v>0</v>
      </c>
      <c r="S89" s="17">
        <f t="shared" si="141"/>
        <v>0</v>
      </c>
      <c r="T89" s="18" t="str">
        <f t="shared" si="142"/>
        <v>-</v>
      </c>
      <c r="U89" s="10"/>
      <c r="V89" s="20"/>
      <c r="W89" s="16"/>
      <c r="X89" s="13" t="s">
        <v>29</v>
      </c>
      <c r="Y89" s="17" t="str">
        <f t="shared" si="143"/>
        <v>-</v>
      </c>
      <c r="Z89" s="17" t="str">
        <f t="shared" si="144"/>
        <v>-</v>
      </c>
      <c r="AA89" s="16"/>
      <c r="AB89" s="18" t="str">
        <f t="shared" si="145"/>
        <v>-</v>
      </c>
      <c r="AC89" s="10"/>
      <c r="AD89" s="19"/>
      <c r="AE89" s="13">
        <f t="shared" si="146"/>
        <v>0</v>
      </c>
      <c r="AF89" s="17" t="str">
        <f t="shared" si="147"/>
        <v>-</v>
      </c>
      <c r="AG89" s="10"/>
      <c r="AH89" s="19"/>
      <c r="AI89" s="13">
        <f>IF(G89="CPI",#REF!*AH89,IFERROR(ROUNDDOWN(AE89*AH89,0),"-"))</f>
        <v>0</v>
      </c>
      <c r="AJ89" s="17" t="str">
        <f t="shared" si="148"/>
        <v>-</v>
      </c>
    </row>
    <row r="90" spans="1:36" ht="30.75" customHeight="1" x14ac:dyDescent="0.3">
      <c r="A90" s="10"/>
      <c r="B90" s="11"/>
      <c r="C90" s="12"/>
      <c r="D90" s="12"/>
      <c r="E90" s="10"/>
      <c r="F90" s="13" t="s">
        <v>60</v>
      </c>
      <c r="G90" s="14" t="s">
        <v>27</v>
      </c>
      <c r="H90" s="15"/>
      <c r="I90" s="16">
        <f t="shared" si="149"/>
        <v>0</v>
      </c>
      <c r="J90" s="10"/>
      <c r="K90" s="17"/>
      <c r="L90" s="12"/>
      <c r="M90" s="17"/>
      <c r="N90" s="17">
        <f t="shared" si="138"/>
        <v>0</v>
      </c>
      <c r="O90" s="18"/>
      <c r="P90" s="17">
        <f t="shared" si="139"/>
        <v>0</v>
      </c>
      <c r="Q90" s="19"/>
      <c r="R90" s="17">
        <f t="shared" si="140"/>
        <v>0</v>
      </c>
      <c r="S90" s="17">
        <f t="shared" si="141"/>
        <v>0</v>
      </c>
      <c r="T90" s="18" t="str">
        <f t="shared" si="142"/>
        <v>-</v>
      </c>
      <c r="U90" s="10"/>
      <c r="V90" s="20"/>
      <c r="W90" s="16"/>
      <c r="X90" s="13" t="s">
        <v>29</v>
      </c>
      <c r="Y90" s="17" t="str">
        <f t="shared" si="143"/>
        <v>-</v>
      </c>
      <c r="Z90" s="17" t="str">
        <f t="shared" si="144"/>
        <v>-</v>
      </c>
      <c r="AA90" s="16"/>
      <c r="AB90" s="18" t="str">
        <f t="shared" si="145"/>
        <v>-</v>
      </c>
      <c r="AC90" s="10"/>
      <c r="AD90" s="19"/>
      <c r="AE90" s="13">
        <f t="shared" si="146"/>
        <v>0</v>
      </c>
      <c r="AF90" s="17" t="str">
        <f t="shared" si="147"/>
        <v>-</v>
      </c>
      <c r="AG90" s="10"/>
      <c r="AH90" s="19"/>
      <c r="AI90" s="13">
        <f>IF(G90="CPI",#REF!*AH90,IFERROR(ROUNDDOWN(AE90*AH90,0),"-"))</f>
        <v>0</v>
      </c>
      <c r="AJ90" s="17" t="str">
        <f t="shared" si="148"/>
        <v>-</v>
      </c>
    </row>
    <row r="91" spans="1:36" ht="17.25" customHeight="1" x14ac:dyDescent="0.3">
      <c r="A91" s="22"/>
      <c r="B91" s="6" t="s">
        <v>28</v>
      </c>
      <c r="C91" s="9" t="s">
        <v>29</v>
      </c>
      <c r="D91" s="9" t="s">
        <v>29</v>
      </c>
      <c r="E91" s="22"/>
      <c r="F91" s="9" t="s">
        <v>29</v>
      </c>
      <c r="G91" s="6" t="s">
        <v>29</v>
      </c>
      <c r="H91" s="5" t="str">
        <f>IFERROR(N91/I91,"-")</f>
        <v>-</v>
      </c>
      <c r="I91" s="25">
        <f>IFERROR(SUM(I81:I90),"-")</f>
        <v>0</v>
      </c>
      <c r="J91" s="22"/>
      <c r="K91" s="23"/>
      <c r="L91" s="6"/>
      <c r="M91" s="23"/>
      <c r="N91" s="23">
        <f>IFERROR(SUM(N81:N90),"-")</f>
        <v>0</v>
      </c>
      <c r="O91" s="6" t="s">
        <v>29</v>
      </c>
      <c r="P91" s="23">
        <f>IFERROR(SUM(P81:P90),"-")</f>
        <v>0</v>
      </c>
      <c r="Q91" s="9" t="s">
        <v>29</v>
      </c>
      <c r="R91" s="23">
        <f>IFERROR(SUM(R81:R90),"-")</f>
        <v>0</v>
      </c>
      <c r="S91" s="23">
        <f t="shared" si="141"/>
        <v>0</v>
      </c>
      <c r="T91" s="24">
        <v>0</v>
      </c>
      <c r="U91" s="22"/>
      <c r="V91" s="25">
        <f>IFERROR(SUM(V81:V90),"-")</f>
        <v>0</v>
      </c>
      <c r="W91" s="25" t="s">
        <v>29</v>
      </c>
      <c r="X91" s="25" t="s">
        <v>29</v>
      </c>
      <c r="Y91" s="23" t="str">
        <f t="shared" si="143"/>
        <v>-</v>
      </c>
      <c r="Z91" s="23" t="str">
        <f t="shared" si="144"/>
        <v>-</v>
      </c>
      <c r="AA91" s="6" t="s">
        <v>29</v>
      </c>
      <c r="AB91" s="6" t="s">
        <v>29</v>
      </c>
      <c r="AC91" s="22"/>
      <c r="AD91" s="24" t="str">
        <f>IFERROR(AE91/V91,"-")</f>
        <v>-</v>
      </c>
      <c r="AE91" s="25">
        <f>IFERROR(SUM(AE81:AE90),"-")</f>
        <v>0</v>
      </c>
      <c r="AF91" s="23" t="str">
        <f t="shared" si="147"/>
        <v>-</v>
      </c>
      <c r="AG91" s="22"/>
      <c r="AH91" s="24" t="str">
        <f>IFERROR(AI91/AE91,"-")</f>
        <v>-</v>
      </c>
      <c r="AI91" s="25">
        <f>IFERROR(SUM(AI81:AI90),"-")</f>
        <v>0</v>
      </c>
      <c r="AJ91" s="23" t="str">
        <f t="shared" si="148"/>
        <v>-</v>
      </c>
    </row>
    <row r="92" spans="1:36" ht="15.75" customHeight="1" x14ac:dyDescent="0.3">
      <c r="A92" s="33"/>
      <c r="B92" s="34"/>
      <c r="C92" s="34"/>
      <c r="D92" s="34"/>
      <c r="E92" s="33"/>
      <c r="F92" s="34"/>
      <c r="G92" s="34"/>
      <c r="H92" s="34"/>
      <c r="I92" s="34"/>
      <c r="J92" s="33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3"/>
      <c r="V92" s="34"/>
      <c r="W92" s="34"/>
      <c r="X92" s="34"/>
      <c r="Y92" s="34"/>
      <c r="Z92" s="34"/>
      <c r="AA92" s="34"/>
      <c r="AB92" s="34"/>
      <c r="AC92" s="33"/>
      <c r="AD92" s="34"/>
      <c r="AE92" s="34"/>
      <c r="AF92" s="34"/>
      <c r="AG92" s="33"/>
      <c r="AH92" s="34"/>
      <c r="AI92" s="34"/>
      <c r="AJ92" s="34"/>
    </row>
    <row r="93" spans="1:36" ht="51.75" customHeight="1" x14ac:dyDescent="0.3">
      <c r="A93" s="1"/>
      <c r="B93" s="2" t="s">
        <v>0</v>
      </c>
      <c r="C93" s="35" t="s">
        <v>1</v>
      </c>
      <c r="D93" s="35" t="s">
        <v>2</v>
      </c>
      <c r="E93" s="1"/>
      <c r="F93" s="3" t="s">
        <v>3</v>
      </c>
      <c r="G93" s="2" t="s">
        <v>50</v>
      </c>
      <c r="H93" s="35" t="s">
        <v>51</v>
      </c>
      <c r="I93" s="2" t="s">
        <v>52</v>
      </c>
      <c r="J93" s="1"/>
      <c r="K93" s="39" t="s">
        <v>68</v>
      </c>
      <c r="L93" s="41" t="s">
        <v>69</v>
      </c>
      <c r="M93" s="39" t="s">
        <v>70</v>
      </c>
      <c r="N93" s="4" t="s">
        <v>7</v>
      </c>
      <c r="O93" s="3" t="s">
        <v>8</v>
      </c>
      <c r="P93" s="4" t="s">
        <v>9</v>
      </c>
      <c r="Q93" s="3" t="s">
        <v>10</v>
      </c>
      <c r="R93" s="5" t="s">
        <v>11</v>
      </c>
      <c r="S93" s="5" t="s">
        <v>12</v>
      </c>
      <c r="T93" s="4" t="s">
        <v>13</v>
      </c>
      <c r="U93" s="1"/>
      <c r="V93" s="2" t="s">
        <v>14</v>
      </c>
      <c r="W93" s="2" t="s">
        <v>15</v>
      </c>
      <c r="X93" s="2" t="s">
        <v>16</v>
      </c>
      <c r="Y93" s="2" t="s">
        <v>17</v>
      </c>
      <c r="Z93" s="2" t="s">
        <v>18</v>
      </c>
      <c r="AA93" s="2" t="s">
        <v>19</v>
      </c>
      <c r="AB93" s="2" t="s">
        <v>20</v>
      </c>
      <c r="AC93" s="1"/>
      <c r="AD93" s="6" t="s">
        <v>21</v>
      </c>
      <c r="AE93" s="7" t="s">
        <v>22</v>
      </c>
      <c r="AF93" s="7" t="s">
        <v>23</v>
      </c>
      <c r="AG93" s="1"/>
      <c r="AH93" s="6" t="s">
        <v>24</v>
      </c>
      <c r="AI93" s="8" t="s">
        <v>25</v>
      </c>
      <c r="AJ93" s="8" t="s">
        <v>26</v>
      </c>
    </row>
    <row r="94" spans="1:36" ht="30.75" customHeight="1" x14ac:dyDescent="0.3">
      <c r="A94" s="10"/>
      <c r="B94" s="11"/>
      <c r="C94" s="12"/>
      <c r="D94" s="12"/>
      <c r="E94" s="10"/>
      <c r="F94" s="13" t="s">
        <v>61</v>
      </c>
      <c r="G94" s="14" t="s">
        <v>27</v>
      </c>
      <c r="H94" s="15"/>
      <c r="I94" s="16">
        <f>IFERROR(V94*AD94,"-")</f>
        <v>0</v>
      </c>
      <c r="J94" s="10"/>
      <c r="K94" s="17"/>
      <c r="L94" s="12"/>
      <c r="M94" s="17"/>
      <c r="N94" s="17">
        <f t="shared" ref="N94:N103" si="161">IFERROR((H94*I94),"-")</f>
        <v>0</v>
      </c>
      <c r="O94" s="18"/>
      <c r="P94" s="17">
        <f t="shared" ref="P94:P103" si="162">IFERROR(N94*(1-O94),"-")</f>
        <v>0</v>
      </c>
      <c r="Q94" s="19"/>
      <c r="R94" s="17">
        <f t="shared" ref="R94:R103" si="163">IFERROR(P94*(1+Q94),"-")</f>
        <v>0</v>
      </c>
      <c r="S94" s="17">
        <f t="shared" ref="S94:S104" si="164">IFERROR(R94*1.22,"-")</f>
        <v>0</v>
      </c>
      <c r="T94" s="18" t="str">
        <f t="shared" ref="T94:T103" si="165">IFERROR(S94/$S$13,"-")</f>
        <v>-</v>
      </c>
      <c r="U94" s="10"/>
      <c r="V94" s="20"/>
      <c r="W94" s="16"/>
      <c r="X94" s="13" t="s">
        <v>29</v>
      </c>
      <c r="Y94" s="17" t="str">
        <f t="shared" ref="Y94:Y104" si="166">IFERROR(S94/V94*1000,"-")</f>
        <v>-</v>
      </c>
      <c r="Z94" s="17" t="str">
        <f t="shared" ref="Z94:Z104" si="167">IFERROR(S94/X94*1000,"-")</f>
        <v>-</v>
      </c>
      <c r="AA94" s="16"/>
      <c r="AB94" s="18" t="str">
        <f t="shared" ref="AB94:AB103" si="168">IFERROR(X94/AA94,"-")</f>
        <v>-</v>
      </c>
      <c r="AC94" s="10"/>
      <c r="AD94" s="19"/>
      <c r="AE94" s="13">
        <f t="shared" ref="AE94:AE103" si="169">IFERROR(ROUNDDOWN(V94*AD94,0),"-")</f>
        <v>0</v>
      </c>
      <c r="AF94" s="17" t="str">
        <f t="shared" ref="AF94:AF104" si="170">IFERROR(S94/AE94,"-")</f>
        <v>-</v>
      </c>
      <c r="AG94" s="10"/>
      <c r="AH94" s="19"/>
      <c r="AI94" s="13">
        <f>IF(G94="CPI",#REF!*AH94,IFERROR(ROUNDDOWN(AE94*AH94,0),"-"))</f>
        <v>0</v>
      </c>
      <c r="AJ94" s="17" t="str">
        <f t="shared" ref="AJ94:AJ104" si="171">IFERROR(S94/AI94,"-")</f>
        <v>-</v>
      </c>
    </row>
    <row r="95" spans="1:36" ht="30.75" customHeight="1" x14ac:dyDescent="0.3">
      <c r="A95" s="10"/>
      <c r="B95" s="11"/>
      <c r="C95" s="12"/>
      <c r="D95" s="12"/>
      <c r="E95" s="10"/>
      <c r="F95" s="13" t="s">
        <v>61</v>
      </c>
      <c r="G95" s="14" t="s">
        <v>27</v>
      </c>
      <c r="H95" s="15"/>
      <c r="I95" s="16">
        <f t="shared" ref="I95:I103" si="172">IFERROR(V95*AD95,"-")</f>
        <v>0</v>
      </c>
      <c r="J95" s="10"/>
      <c r="K95" s="17"/>
      <c r="L95" s="12"/>
      <c r="M95" s="17"/>
      <c r="N95" s="17">
        <f t="shared" si="161"/>
        <v>0</v>
      </c>
      <c r="O95" s="18"/>
      <c r="P95" s="17">
        <f t="shared" si="162"/>
        <v>0</v>
      </c>
      <c r="Q95" s="19"/>
      <c r="R95" s="17">
        <f t="shared" si="163"/>
        <v>0</v>
      </c>
      <c r="S95" s="17">
        <f t="shared" si="164"/>
        <v>0</v>
      </c>
      <c r="T95" s="18" t="str">
        <f t="shared" si="165"/>
        <v>-</v>
      </c>
      <c r="U95" s="10"/>
      <c r="V95" s="20"/>
      <c r="W95" s="16"/>
      <c r="X95" s="13" t="s">
        <v>29</v>
      </c>
      <c r="Y95" s="17" t="str">
        <f t="shared" si="166"/>
        <v>-</v>
      </c>
      <c r="Z95" s="17" t="str">
        <f t="shared" si="167"/>
        <v>-</v>
      </c>
      <c r="AA95" s="16"/>
      <c r="AB95" s="18" t="str">
        <f t="shared" si="168"/>
        <v>-</v>
      </c>
      <c r="AC95" s="10"/>
      <c r="AD95" s="19"/>
      <c r="AE95" s="13">
        <f t="shared" si="169"/>
        <v>0</v>
      </c>
      <c r="AF95" s="17" t="str">
        <f t="shared" si="170"/>
        <v>-</v>
      </c>
      <c r="AG95" s="10"/>
      <c r="AH95" s="19"/>
      <c r="AI95" s="13">
        <f>IF(G95="CPI",#REF!*AH95,IFERROR(ROUNDDOWN(AE95*AH95,0),"-"))</f>
        <v>0</v>
      </c>
      <c r="AJ95" s="17" t="str">
        <f t="shared" si="171"/>
        <v>-</v>
      </c>
    </row>
    <row r="96" spans="1:36" ht="30.75" customHeight="1" x14ac:dyDescent="0.3">
      <c r="A96" s="10"/>
      <c r="B96" s="11"/>
      <c r="C96" s="12"/>
      <c r="D96" s="12"/>
      <c r="E96" s="10"/>
      <c r="F96" s="13" t="s">
        <v>61</v>
      </c>
      <c r="G96" s="14" t="s">
        <v>27</v>
      </c>
      <c r="H96" s="15"/>
      <c r="I96" s="16">
        <f t="shared" ref="I96:I100" si="173">IFERROR(V96*AD96,"-")</f>
        <v>0</v>
      </c>
      <c r="J96" s="10"/>
      <c r="K96" s="17"/>
      <c r="L96" s="12"/>
      <c r="M96" s="17"/>
      <c r="N96" s="17">
        <f t="shared" ref="N96:N100" si="174">IFERROR((H96*I96),"-")</f>
        <v>0</v>
      </c>
      <c r="O96" s="18"/>
      <c r="P96" s="17">
        <f t="shared" ref="P96:P100" si="175">IFERROR(N96*(1-O96),"-")</f>
        <v>0</v>
      </c>
      <c r="Q96" s="19"/>
      <c r="R96" s="17">
        <f t="shared" ref="R96:R100" si="176">IFERROR(P96*(1+Q96),"-")</f>
        <v>0</v>
      </c>
      <c r="S96" s="17">
        <f t="shared" si="164"/>
        <v>0</v>
      </c>
      <c r="T96" s="18" t="str">
        <f t="shared" ref="T96:T100" si="177">IFERROR(S96/$S$13,"-")</f>
        <v>-</v>
      </c>
      <c r="U96" s="10"/>
      <c r="V96" s="20"/>
      <c r="W96" s="16"/>
      <c r="X96" s="13" t="s">
        <v>29</v>
      </c>
      <c r="Y96" s="17" t="str">
        <f t="shared" ref="Y96:Y100" si="178">IFERROR(S96/V96*1000,"-")</f>
        <v>-</v>
      </c>
      <c r="Z96" s="17" t="str">
        <f t="shared" ref="Z96:Z100" si="179">IFERROR(S96/X96*1000,"-")</f>
        <v>-</v>
      </c>
      <c r="AA96" s="16"/>
      <c r="AB96" s="18" t="str">
        <f t="shared" ref="AB96:AB100" si="180">IFERROR(X96/AA96,"-")</f>
        <v>-</v>
      </c>
      <c r="AC96" s="10"/>
      <c r="AD96" s="19"/>
      <c r="AE96" s="13">
        <f t="shared" ref="AE96:AE100" si="181">IFERROR(ROUNDDOWN(V96*AD96,0),"-")</f>
        <v>0</v>
      </c>
      <c r="AF96" s="17" t="str">
        <f t="shared" ref="AF96:AF100" si="182">IFERROR(S96/AE96,"-")</f>
        <v>-</v>
      </c>
      <c r="AG96" s="10"/>
      <c r="AH96" s="19"/>
      <c r="AI96" s="13">
        <f>IF(G96="CPI",#REF!*AH96,IFERROR(ROUNDDOWN(AE96*AH96,0),"-"))</f>
        <v>0</v>
      </c>
      <c r="AJ96" s="17" t="str">
        <f t="shared" ref="AJ96:AJ100" si="183">IFERROR(S96/AI96,"-")</f>
        <v>-</v>
      </c>
    </row>
    <row r="97" spans="1:36" ht="30.75" customHeight="1" x14ac:dyDescent="0.3">
      <c r="A97" s="10"/>
      <c r="B97" s="11"/>
      <c r="C97" s="12"/>
      <c r="D97" s="12"/>
      <c r="E97" s="10"/>
      <c r="F97" s="13" t="s">
        <v>61</v>
      </c>
      <c r="G97" s="14" t="s">
        <v>27</v>
      </c>
      <c r="H97" s="15"/>
      <c r="I97" s="16">
        <f t="shared" si="173"/>
        <v>0</v>
      </c>
      <c r="J97" s="10"/>
      <c r="K97" s="17"/>
      <c r="L97" s="12"/>
      <c r="M97" s="17"/>
      <c r="N97" s="17">
        <f t="shared" si="174"/>
        <v>0</v>
      </c>
      <c r="O97" s="18"/>
      <c r="P97" s="17">
        <f t="shared" si="175"/>
        <v>0</v>
      </c>
      <c r="Q97" s="19"/>
      <c r="R97" s="17">
        <f t="shared" si="176"/>
        <v>0</v>
      </c>
      <c r="S97" s="17">
        <f t="shared" si="164"/>
        <v>0</v>
      </c>
      <c r="T97" s="18" t="str">
        <f t="shared" si="177"/>
        <v>-</v>
      </c>
      <c r="U97" s="10"/>
      <c r="V97" s="20"/>
      <c r="W97" s="16"/>
      <c r="X97" s="13" t="s">
        <v>29</v>
      </c>
      <c r="Y97" s="17" t="str">
        <f t="shared" si="178"/>
        <v>-</v>
      </c>
      <c r="Z97" s="17" t="str">
        <f t="shared" si="179"/>
        <v>-</v>
      </c>
      <c r="AA97" s="16"/>
      <c r="AB97" s="18" t="str">
        <f t="shared" si="180"/>
        <v>-</v>
      </c>
      <c r="AC97" s="10"/>
      <c r="AD97" s="19"/>
      <c r="AE97" s="13">
        <f t="shared" si="181"/>
        <v>0</v>
      </c>
      <c r="AF97" s="17" t="str">
        <f t="shared" si="182"/>
        <v>-</v>
      </c>
      <c r="AG97" s="10"/>
      <c r="AH97" s="19"/>
      <c r="AI97" s="13">
        <f>IF(G97="CPI",#REF!*AH97,IFERROR(ROUNDDOWN(AE97*AH97,0),"-"))</f>
        <v>0</v>
      </c>
      <c r="AJ97" s="17" t="str">
        <f t="shared" si="183"/>
        <v>-</v>
      </c>
    </row>
    <row r="98" spans="1:36" ht="30.75" customHeight="1" x14ac:dyDescent="0.3">
      <c r="A98" s="10"/>
      <c r="B98" s="11"/>
      <c r="C98" s="12"/>
      <c r="D98" s="12"/>
      <c r="E98" s="10"/>
      <c r="F98" s="13" t="s">
        <v>61</v>
      </c>
      <c r="G98" s="14" t="s">
        <v>27</v>
      </c>
      <c r="H98" s="15"/>
      <c r="I98" s="16">
        <f t="shared" si="173"/>
        <v>0</v>
      </c>
      <c r="J98" s="10"/>
      <c r="K98" s="17"/>
      <c r="L98" s="12"/>
      <c r="M98" s="17"/>
      <c r="N98" s="17">
        <f t="shared" si="174"/>
        <v>0</v>
      </c>
      <c r="O98" s="18"/>
      <c r="P98" s="17">
        <f t="shared" si="175"/>
        <v>0</v>
      </c>
      <c r="Q98" s="19"/>
      <c r="R98" s="17">
        <f t="shared" si="176"/>
        <v>0</v>
      </c>
      <c r="S98" s="17">
        <f t="shared" si="164"/>
        <v>0</v>
      </c>
      <c r="T98" s="18" t="str">
        <f t="shared" si="177"/>
        <v>-</v>
      </c>
      <c r="U98" s="10"/>
      <c r="V98" s="20"/>
      <c r="W98" s="16"/>
      <c r="X98" s="13" t="s">
        <v>29</v>
      </c>
      <c r="Y98" s="17" t="str">
        <f t="shared" si="178"/>
        <v>-</v>
      </c>
      <c r="Z98" s="17" t="str">
        <f t="shared" si="179"/>
        <v>-</v>
      </c>
      <c r="AA98" s="16"/>
      <c r="AB98" s="18" t="str">
        <f t="shared" si="180"/>
        <v>-</v>
      </c>
      <c r="AC98" s="10"/>
      <c r="AD98" s="19"/>
      <c r="AE98" s="13">
        <f t="shared" si="181"/>
        <v>0</v>
      </c>
      <c r="AF98" s="17" t="str">
        <f t="shared" si="182"/>
        <v>-</v>
      </c>
      <c r="AG98" s="10"/>
      <c r="AH98" s="19"/>
      <c r="AI98" s="13">
        <f>IF(G98="CPI",#REF!*AH98,IFERROR(ROUNDDOWN(AE98*AH98,0),"-"))</f>
        <v>0</v>
      </c>
      <c r="AJ98" s="17" t="str">
        <f t="shared" si="183"/>
        <v>-</v>
      </c>
    </row>
    <row r="99" spans="1:36" ht="30.75" customHeight="1" x14ac:dyDescent="0.3">
      <c r="A99" s="10"/>
      <c r="B99" s="11"/>
      <c r="C99" s="12"/>
      <c r="D99" s="12"/>
      <c r="E99" s="10"/>
      <c r="F99" s="13" t="s">
        <v>61</v>
      </c>
      <c r="G99" s="14" t="s">
        <v>27</v>
      </c>
      <c r="H99" s="15"/>
      <c r="I99" s="16">
        <f t="shared" si="173"/>
        <v>0</v>
      </c>
      <c r="J99" s="10"/>
      <c r="K99" s="17"/>
      <c r="L99" s="12"/>
      <c r="M99" s="17"/>
      <c r="N99" s="17">
        <f t="shared" si="174"/>
        <v>0</v>
      </c>
      <c r="O99" s="18"/>
      <c r="P99" s="17">
        <f t="shared" si="175"/>
        <v>0</v>
      </c>
      <c r="Q99" s="19"/>
      <c r="R99" s="17">
        <f t="shared" si="176"/>
        <v>0</v>
      </c>
      <c r="S99" s="17">
        <f t="shared" si="164"/>
        <v>0</v>
      </c>
      <c r="T99" s="18" t="str">
        <f t="shared" si="177"/>
        <v>-</v>
      </c>
      <c r="U99" s="10"/>
      <c r="V99" s="20"/>
      <c r="W99" s="16"/>
      <c r="X99" s="13" t="s">
        <v>29</v>
      </c>
      <c r="Y99" s="17" t="str">
        <f t="shared" si="178"/>
        <v>-</v>
      </c>
      <c r="Z99" s="17" t="str">
        <f t="shared" si="179"/>
        <v>-</v>
      </c>
      <c r="AA99" s="16"/>
      <c r="AB99" s="18" t="str">
        <f t="shared" si="180"/>
        <v>-</v>
      </c>
      <c r="AC99" s="10"/>
      <c r="AD99" s="19"/>
      <c r="AE99" s="13">
        <f t="shared" si="181"/>
        <v>0</v>
      </c>
      <c r="AF99" s="17" t="str">
        <f t="shared" si="182"/>
        <v>-</v>
      </c>
      <c r="AG99" s="10"/>
      <c r="AH99" s="19"/>
      <c r="AI99" s="13">
        <f>IF(G99="CPI",#REF!*AH99,IFERROR(ROUNDDOWN(AE99*AH99,0),"-"))</f>
        <v>0</v>
      </c>
      <c r="AJ99" s="17" t="str">
        <f t="shared" si="183"/>
        <v>-</v>
      </c>
    </row>
    <row r="100" spans="1:36" ht="30.75" customHeight="1" x14ac:dyDescent="0.3">
      <c r="A100" s="10"/>
      <c r="B100" s="11"/>
      <c r="C100" s="12"/>
      <c r="D100" s="12"/>
      <c r="E100" s="10"/>
      <c r="F100" s="13" t="s">
        <v>61</v>
      </c>
      <c r="G100" s="14" t="s">
        <v>27</v>
      </c>
      <c r="H100" s="15"/>
      <c r="I100" s="16">
        <f t="shared" si="173"/>
        <v>0</v>
      </c>
      <c r="J100" s="10"/>
      <c r="K100" s="17"/>
      <c r="L100" s="12"/>
      <c r="M100" s="17"/>
      <c r="N100" s="17">
        <f t="shared" si="174"/>
        <v>0</v>
      </c>
      <c r="O100" s="18"/>
      <c r="P100" s="17">
        <f t="shared" si="175"/>
        <v>0</v>
      </c>
      <c r="Q100" s="19"/>
      <c r="R100" s="17">
        <f t="shared" si="176"/>
        <v>0</v>
      </c>
      <c r="S100" s="17">
        <f t="shared" si="164"/>
        <v>0</v>
      </c>
      <c r="T100" s="18" t="str">
        <f t="shared" si="177"/>
        <v>-</v>
      </c>
      <c r="U100" s="10"/>
      <c r="V100" s="20"/>
      <c r="W100" s="16"/>
      <c r="X100" s="13" t="s">
        <v>29</v>
      </c>
      <c r="Y100" s="17" t="str">
        <f t="shared" si="178"/>
        <v>-</v>
      </c>
      <c r="Z100" s="17" t="str">
        <f t="shared" si="179"/>
        <v>-</v>
      </c>
      <c r="AA100" s="16"/>
      <c r="AB100" s="18" t="str">
        <f t="shared" si="180"/>
        <v>-</v>
      </c>
      <c r="AC100" s="10"/>
      <c r="AD100" s="19"/>
      <c r="AE100" s="13">
        <f t="shared" si="181"/>
        <v>0</v>
      </c>
      <c r="AF100" s="17" t="str">
        <f t="shared" si="182"/>
        <v>-</v>
      </c>
      <c r="AG100" s="10"/>
      <c r="AH100" s="19"/>
      <c r="AI100" s="13">
        <f>IF(G100="CPI",#REF!*AH100,IFERROR(ROUNDDOWN(AE100*AH100,0),"-"))</f>
        <v>0</v>
      </c>
      <c r="AJ100" s="17" t="str">
        <f t="shared" si="183"/>
        <v>-</v>
      </c>
    </row>
    <row r="101" spans="1:36" ht="30.75" customHeight="1" x14ac:dyDescent="0.3">
      <c r="A101" s="10"/>
      <c r="B101" s="11"/>
      <c r="C101" s="12"/>
      <c r="D101" s="12"/>
      <c r="E101" s="10"/>
      <c r="F101" s="13" t="s">
        <v>61</v>
      </c>
      <c r="G101" s="14" t="s">
        <v>27</v>
      </c>
      <c r="H101" s="15"/>
      <c r="I101" s="16">
        <f t="shared" si="172"/>
        <v>0</v>
      </c>
      <c r="J101" s="10"/>
      <c r="K101" s="17"/>
      <c r="L101" s="12"/>
      <c r="M101" s="17"/>
      <c r="N101" s="17">
        <f t="shared" si="161"/>
        <v>0</v>
      </c>
      <c r="O101" s="18"/>
      <c r="P101" s="17">
        <f t="shared" si="162"/>
        <v>0</v>
      </c>
      <c r="Q101" s="19"/>
      <c r="R101" s="17">
        <f t="shared" si="163"/>
        <v>0</v>
      </c>
      <c r="S101" s="17">
        <f t="shared" si="164"/>
        <v>0</v>
      </c>
      <c r="T101" s="18" t="str">
        <f t="shared" si="165"/>
        <v>-</v>
      </c>
      <c r="U101" s="10"/>
      <c r="V101" s="20"/>
      <c r="W101" s="16"/>
      <c r="X101" s="13" t="s">
        <v>29</v>
      </c>
      <c r="Y101" s="17" t="str">
        <f t="shared" si="166"/>
        <v>-</v>
      </c>
      <c r="Z101" s="17" t="str">
        <f t="shared" si="167"/>
        <v>-</v>
      </c>
      <c r="AA101" s="16"/>
      <c r="AB101" s="18" t="str">
        <f t="shared" si="168"/>
        <v>-</v>
      </c>
      <c r="AC101" s="10"/>
      <c r="AD101" s="19"/>
      <c r="AE101" s="13">
        <f t="shared" si="169"/>
        <v>0</v>
      </c>
      <c r="AF101" s="17" t="str">
        <f t="shared" si="170"/>
        <v>-</v>
      </c>
      <c r="AG101" s="10"/>
      <c r="AH101" s="19"/>
      <c r="AI101" s="13">
        <f>IF(G101="CPI",#REF!*AH101,IFERROR(ROUNDDOWN(AE101*AH101,0),"-"))</f>
        <v>0</v>
      </c>
      <c r="AJ101" s="17" t="str">
        <f t="shared" si="171"/>
        <v>-</v>
      </c>
    </row>
    <row r="102" spans="1:36" ht="30.75" customHeight="1" x14ac:dyDescent="0.3">
      <c r="A102" s="10"/>
      <c r="B102" s="11"/>
      <c r="C102" s="12"/>
      <c r="D102" s="12"/>
      <c r="E102" s="10"/>
      <c r="F102" s="13" t="s">
        <v>61</v>
      </c>
      <c r="G102" s="14" t="s">
        <v>27</v>
      </c>
      <c r="H102" s="15"/>
      <c r="I102" s="16">
        <f t="shared" si="172"/>
        <v>0</v>
      </c>
      <c r="J102" s="10"/>
      <c r="K102" s="17"/>
      <c r="L102" s="12"/>
      <c r="M102" s="17"/>
      <c r="N102" s="17">
        <f t="shared" si="161"/>
        <v>0</v>
      </c>
      <c r="O102" s="18"/>
      <c r="P102" s="17">
        <f t="shared" si="162"/>
        <v>0</v>
      </c>
      <c r="Q102" s="19"/>
      <c r="R102" s="17">
        <f t="shared" si="163"/>
        <v>0</v>
      </c>
      <c r="S102" s="17">
        <f t="shared" si="164"/>
        <v>0</v>
      </c>
      <c r="T102" s="18" t="str">
        <f t="shared" si="165"/>
        <v>-</v>
      </c>
      <c r="U102" s="10"/>
      <c r="V102" s="20"/>
      <c r="W102" s="16"/>
      <c r="X102" s="13" t="s">
        <v>29</v>
      </c>
      <c r="Y102" s="17" t="str">
        <f t="shared" si="166"/>
        <v>-</v>
      </c>
      <c r="Z102" s="17" t="str">
        <f t="shared" si="167"/>
        <v>-</v>
      </c>
      <c r="AA102" s="16"/>
      <c r="AB102" s="18" t="str">
        <f t="shared" si="168"/>
        <v>-</v>
      </c>
      <c r="AC102" s="10"/>
      <c r="AD102" s="19"/>
      <c r="AE102" s="13">
        <f t="shared" si="169"/>
        <v>0</v>
      </c>
      <c r="AF102" s="17" t="str">
        <f t="shared" si="170"/>
        <v>-</v>
      </c>
      <c r="AG102" s="10"/>
      <c r="AH102" s="19"/>
      <c r="AI102" s="13">
        <f>IF(G102="CPI",#REF!*AH102,IFERROR(ROUNDDOWN(AE102*AH102,0),"-"))</f>
        <v>0</v>
      </c>
      <c r="AJ102" s="17" t="str">
        <f t="shared" si="171"/>
        <v>-</v>
      </c>
    </row>
    <row r="103" spans="1:36" ht="30.75" customHeight="1" x14ac:dyDescent="0.3">
      <c r="A103" s="10"/>
      <c r="B103" s="11"/>
      <c r="C103" s="12"/>
      <c r="D103" s="12"/>
      <c r="E103" s="10"/>
      <c r="F103" s="13" t="s">
        <v>61</v>
      </c>
      <c r="G103" s="14" t="s">
        <v>27</v>
      </c>
      <c r="H103" s="15"/>
      <c r="I103" s="16">
        <f t="shared" si="172"/>
        <v>0</v>
      </c>
      <c r="J103" s="10"/>
      <c r="K103" s="17"/>
      <c r="L103" s="12"/>
      <c r="M103" s="17"/>
      <c r="N103" s="17">
        <f t="shared" si="161"/>
        <v>0</v>
      </c>
      <c r="O103" s="18"/>
      <c r="P103" s="17">
        <f t="shared" si="162"/>
        <v>0</v>
      </c>
      <c r="Q103" s="19"/>
      <c r="R103" s="17">
        <f t="shared" si="163"/>
        <v>0</v>
      </c>
      <c r="S103" s="17">
        <f t="shared" si="164"/>
        <v>0</v>
      </c>
      <c r="T103" s="18" t="str">
        <f t="shared" si="165"/>
        <v>-</v>
      </c>
      <c r="U103" s="10"/>
      <c r="V103" s="20"/>
      <c r="W103" s="16"/>
      <c r="X103" s="13" t="s">
        <v>29</v>
      </c>
      <c r="Y103" s="17" t="str">
        <f t="shared" si="166"/>
        <v>-</v>
      </c>
      <c r="Z103" s="17" t="str">
        <f t="shared" si="167"/>
        <v>-</v>
      </c>
      <c r="AA103" s="16"/>
      <c r="AB103" s="18" t="str">
        <f t="shared" si="168"/>
        <v>-</v>
      </c>
      <c r="AC103" s="10"/>
      <c r="AD103" s="19"/>
      <c r="AE103" s="13">
        <f t="shared" si="169"/>
        <v>0</v>
      </c>
      <c r="AF103" s="17" t="str">
        <f t="shared" si="170"/>
        <v>-</v>
      </c>
      <c r="AG103" s="10"/>
      <c r="AH103" s="19"/>
      <c r="AI103" s="13">
        <f>IF(G103="CPI",#REF!*AH103,IFERROR(ROUNDDOWN(AE103*AH103,0),"-"))</f>
        <v>0</v>
      </c>
      <c r="AJ103" s="17" t="str">
        <f t="shared" si="171"/>
        <v>-</v>
      </c>
    </row>
    <row r="104" spans="1:36" ht="17.25" customHeight="1" x14ac:dyDescent="0.3">
      <c r="A104" s="22"/>
      <c r="B104" s="6" t="s">
        <v>28</v>
      </c>
      <c r="C104" s="9" t="s">
        <v>29</v>
      </c>
      <c r="D104" s="9" t="s">
        <v>29</v>
      </c>
      <c r="E104" s="22"/>
      <c r="F104" s="9" t="s">
        <v>29</v>
      </c>
      <c r="G104" s="6" t="s">
        <v>29</v>
      </c>
      <c r="H104" s="5" t="str">
        <f>IFERROR(N104/I104,"-")</f>
        <v>-</v>
      </c>
      <c r="I104" s="25">
        <f>IFERROR(SUM(I94:I103),"-")</f>
        <v>0</v>
      </c>
      <c r="J104" s="22"/>
      <c r="K104" s="23"/>
      <c r="L104" s="6"/>
      <c r="M104" s="23"/>
      <c r="N104" s="23">
        <f>IFERROR(SUM(N94:N103),"-")</f>
        <v>0</v>
      </c>
      <c r="O104" s="6" t="s">
        <v>29</v>
      </c>
      <c r="P104" s="23">
        <f>IFERROR(SUM(P94:P103),"-")</f>
        <v>0</v>
      </c>
      <c r="Q104" s="9" t="s">
        <v>29</v>
      </c>
      <c r="R104" s="23">
        <f>IFERROR(SUM(R94:R103),"-")</f>
        <v>0</v>
      </c>
      <c r="S104" s="23">
        <f t="shared" si="164"/>
        <v>0</v>
      </c>
      <c r="T104" s="24">
        <v>0</v>
      </c>
      <c r="U104" s="22"/>
      <c r="V104" s="25">
        <f>IFERROR(SUM(V94:V103),"-")</f>
        <v>0</v>
      </c>
      <c r="W104" s="25" t="s">
        <v>29</v>
      </c>
      <c r="X104" s="25" t="s">
        <v>29</v>
      </c>
      <c r="Y104" s="23" t="str">
        <f t="shared" si="166"/>
        <v>-</v>
      </c>
      <c r="Z104" s="23" t="str">
        <f t="shared" si="167"/>
        <v>-</v>
      </c>
      <c r="AA104" s="6" t="s">
        <v>29</v>
      </c>
      <c r="AB104" s="6" t="s">
        <v>29</v>
      </c>
      <c r="AC104" s="22"/>
      <c r="AD104" s="24" t="str">
        <f>IFERROR(AE104/V104,"-")</f>
        <v>-</v>
      </c>
      <c r="AE104" s="25">
        <f>IFERROR(SUM(AE94:AE103),"-")</f>
        <v>0</v>
      </c>
      <c r="AF104" s="23" t="str">
        <f t="shared" si="170"/>
        <v>-</v>
      </c>
      <c r="AG104" s="22"/>
      <c r="AH104" s="24" t="str">
        <f>IFERROR(AI104/AE104,"-")</f>
        <v>-</v>
      </c>
      <c r="AI104" s="25">
        <f>IFERROR(SUM(AI94:AI103),"-")</f>
        <v>0</v>
      </c>
      <c r="AJ104" s="23" t="str">
        <f t="shared" si="171"/>
        <v>-</v>
      </c>
    </row>
    <row r="105" spans="1:36" ht="15.75" customHeight="1" x14ac:dyDescent="0.3">
      <c r="A105" s="33"/>
      <c r="B105" s="34"/>
      <c r="C105" s="34"/>
      <c r="D105" s="34"/>
      <c r="E105" s="33"/>
      <c r="F105" s="34"/>
      <c r="G105" s="34"/>
      <c r="H105" s="34"/>
      <c r="I105" s="34"/>
      <c r="J105" s="33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3"/>
      <c r="V105" s="34"/>
      <c r="W105" s="34"/>
      <c r="X105" s="34"/>
      <c r="Y105" s="34"/>
      <c r="Z105" s="34"/>
      <c r="AA105" s="34"/>
      <c r="AB105" s="34"/>
      <c r="AC105" s="33"/>
      <c r="AD105" s="34"/>
      <c r="AE105" s="34"/>
      <c r="AF105" s="34"/>
      <c r="AG105" s="33"/>
      <c r="AH105" s="34"/>
      <c r="AI105" s="34"/>
      <c r="AJ105" s="34"/>
    </row>
    <row r="106" spans="1:36" ht="51.75" customHeight="1" x14ac:dyDescent="0.3">
      <c r="A106" s="1"/>
      <c r="B106" s="2" t="s">
        <v>0</v>
      </c>
      <c r="C106" s="2" t="s">
        <v>1</v>
      </c>
      <c r="D106" s="2" t="s">
        <v>2</v>
      </c>
      <c r="E106" s="1"/>
      <c r="F106" s="3" t="s">
        <v>3</v>
      </c>
      <c r="G106" s="2" t="s">
        <v>50</v>
      </c>
      <c r="H106" s="2" t="s">
        <v>51</v>
      </c>
      <c r="I106" s="2" t="s">
        <v>52</v>
      </c>
      <c r="J106" s="1"/>
      <c r="K106" s="39" t="s">
        <v>68</v>
      </c>
      <c r="L106" s="41" t="s">
        <v>69</v>
      </c>
      <c r="M106" s="39" t="s">
        <v>70</v>
      </c>
      <c r="N106" s="4" t="s">
        <v>7</v>
      </c>
      <c r="O106" s="3" t="s">
        <v>8</v>
      </c>
      <c r="P106" s="4" t="s">
        <v>9</v>
      </c>
      <c r="Q106" s="3" t="s">
        <v>10</v>
      </c>
      <c r="R106" s="5" t="s">
        <v>11</v>
      </c>
      <c r="S106" s="5" t="s">
        <v>12</v>
      </c>
      <c r="T106" s="4" t="s">
        <v>13</v>
      </c>
      <c r="U106" s="1"/>
      <c r="V106" s="2" t="s">
        <v>14</v>
      </c>
      <c r="W106" s="2" t="s">
        <v>15</v>
      </c>
      <c r="X106" s="2" t="s">
        <v>16</v>
      </c>
      <c r="Y106" s="2" t="s">
        <v>17</v>
      </c>
      <c r="Z106" s="2" t="s">
        <v>18</v>
      </c>
      <c r="AA106" s="2" t="s">
        <v>19</v>
      </c>
      <c r="AB106" s="2" t="s">
        <v>20</v>
      </c>
      <c r="AC106" s="1"/>
      <c r="AD106" s="6" t="s">
        <v>21</v>
      </c>
      <c r="AE106" s="7" t="s">
        <v>22</v>
      </c>
      <c r="AF106" s="7" t="s">
        <v>23</v>
      </c>
      <c r="AG106" s="1"/>
      <c r="AH106" s="6" t="s">
        <v>24</v>
      </c>
      <c r="AI106" s="8" t="s">
        <v>25</v>
      </c>
      <c r="AJ106" s="8" t="s">
        <v>26</v>
      </c>
    </row>
    <row r="107" spans="1:36" ht="30.75" customHeight="1" x14ac:dyDescent="0.3">
      <c r="A107" s="10"/>
      <c r="B107" s="11"/>
      <c r="C107" s="12"/>
      <c r="D107" s="12"/>
      <c r="E107" s="10"/>
      <c r="F107" s="13" t="s">
        <v>62</v>
      </c>
      <c r="G107" s="14" t="s">
        <v>27</v>
      </c>
      <c r="H107" s="15"/>
      <c r="I107" s="16">
        <f>IFERROR(V107*AD107,"-")</f>
        <v>0</v>
      </c>
      <c r="J107" s="10"/>
      <c r="K107" s="17"/>
      <c r="L107" s="12"/>
      <c r="M107" s="17"/>
      <c r="N107" s="17">
        <f t="shared" ref="N107:N116" si="184">IFERROR((H107*I107),"-")</f>
        <v>0</v>
      </c>
      <c r="O107" s="18"/>
      <c r="P107" s="17">
        <f t="shared" ref="P107:P116" si="185">IFERROR(N107*(1-O107),"-")</f>
        <v>0</v>
      </c>
      <c r="Q107" s="19"/>
      <c r="R107" s="17">
        <f t="shared" ref="R107:R116" si="186">IFERROR(P107*(1+Q107),"-")</f>
        <v>0</v>
      </c>
      <c r="S107" s="17">
        <f t="shared" ref="S107:S117" si="187">IFERROR(R107*1.22,"-")</f>
        <v>0</v>
      </c>
      <c r="T107" s="18" t="str">
        <f t="shared" ref="T107:T116" si="188">IFERROR(S107/$S$13,"-")</f>
        <v>-</v>
      </c>
      <c r="U107" s="10"/>
      <c r="V107" s="20"/>
      <c r="W107" s="16"/>
      <c r="X107" s="13" t="s">
        <v>29</v>
      </c>
      <c r="Y107" s="17" t="str">
        <f t="shared" ref="Y107:Y117" si="189">IFERROR(S107/V107*1000,"-")</f>
        <v>-</v>
      </c>
      <c r="Z107" s="17" t="str">
        <f t="shared" ref="Z107:Z117" si="190">IFERROR(S107/X107*1000,"-")</f>
        <v>-</v>
      </c>
      <c r="AA107" s="16"/>
      <c r="AB107" s="18" t="str">
        <f t="shared" ref="AB107:AB116" si="191">IFERROR(X107/AA107,"-")</f>
        <v>-</v>
      </c>
      <c r="AC107" s="10"/>
      <c r="AD107" s="19"/>
      <c r="AE107" s="13">
        <f t="shared" ref="AE107:AE116" si="192">IFERROR(ROUNDDOWN(V107*AD107,0),"-")</f>
        <v>0</v>
      </c>
      <c r="AF107" s="17" t="str">
        <f t="shared" ref="AF107:AF117" si="193">IFERROR(S107/AE107,"-")</f>
        <v>-</v>
      </c>
      <c r="AG107" s="10"/>
      <c r="AH107" s="19"/>
      <c r="AI107" s="13">
        <f>IF(G107="CPI",#REF!*AH107,IFERROR(ROUNDDOWN(AE107*AH107,0),"-"))</f>
        <v>0</v>
      </c>
      <c r="AJ107" s="17" t="str">
        <f t="shared" ref="AJ107:AJ117" si="194">IFERROR(S107/AI107,"-")</f>
        <v>-</v>
      </c>
    </row>
    <row r="108" spans="1:36" ht="30.75" customHeight="1" x14ac:dyDescent="0.3">
      <c r="A108" s="10"/>
      <c r="B108" s="11"/>
      <c r="C108" s="12"/>
      <c r="D108" s="12"/>
      <c r="E108" s="10"/>
      <c r="F108" s="13" t="s">
        <v>62</v>
      </c>
      <c r="G108" s="14" t="s">
        <v>27</v>
      </c>
      <c r="H108" s="15"/>
      <c r="I108" s="16">
        <f t="shared" ref="I108:I116" si="195">IFERROR(V108*AD108,"-")</f>
        <v>0</v>
      </c>
      <c r="J108" s="10"/>
      <c r="K108" s="17"/>
      <c r="L108" s="12"/>
      <c r="M108" s="17"/>
      <c r="N108" s="17">
        <f t="shared" si="184"/>
        <v>0</v>
      </c>
      <c r="O108" s="18"/>
      <c r="P108" s="17">
        <f t="shared" si="185"/>
        <v>0</v>
      </c>
      <c r="Q108" s="19"/>
      <c r="R108" s="17">
        <f t="shared" si="186"/>
        <v>0</v>
      </c>
      <c r="S108" s="17">
        <f t="shared" si="187"/>
        <v>0</v>
      </c>
      <c r="T108" s="18" t="str">
        <f t="shared" si="188"/>
        <v>-</v>
      </c>
      <c r="U108" s="10"/>
      <c r="V108" s="20"/>
      <c r="W108" s="16"/>
      <c r="X108" s="13" t="s">
        <v>29</v>
      </c>
      <c r="Y108" s="17" t="str">
        <f t="shared" si="189"/>
        <v>-</v>
      </c>
      <c r="Z108" s="17" t="str">
        <f t="shared" si="190"/>
        <v>-</v>
      </c>
      <c r="AA108" s="16"/>
      <c r="AB108" s="18" t="str">
        <f t="shared" si="191"/>
        <v>-</v>
      </c>
      <c r="AC108" s="10"/>
      <c r="AD108" s="19"/>
      <c r="AE108" s="13">
        <f t="shared" si="192"/>
        <v>0</v>
      </c>
      <c r="AF108" s="17" t="str">
        <f t="shared" si="193"/>
        <v>-</v>
      </c>
      <c r="AG108" s="10"/>
      <c r="AH108" s="19"/>
      <c r="AI108" s="13">
        <f>IF(G108="CPI",#REF!*AH108,IFERROR(ROUNDDOWN(AE108*AH108,0),"-"))</f>
        <v>0</v>
      </c>
      <c r="AJ108" s="17" t="str">
        <f t="shared" si="194"/>
        <v>-</v>
      </c>
    </row>
    <row r="109" spans="1:36" ht="30.75" customHeight="1" x14ac:dyDescent="0.3">
      <c r="A109" s="10"/>
      <c r="B109" s="11"/>
      <c r="C109" s="12"/>
      <c r="D109" s="12"/>
      <c r="E109" s="10"/>
      <c r="F109" s="13" t="s">
        <v>62</v>
      </c>
      <c r="G109" s="14" t="s">
        <v>27</v>
      </c>
      <c r="H109" s="15"/>
      <c r="I109" s="16">
        <f t="shared" ref="I109:I113" si="196">IFERROR(V109*AD109,"-")</f>
        <v>0</v>
      </c>
      <c r="J109" s="10"/>
      <c r="K109" s="17"/>
      <c r="L109" s="12"/>
      <c r="M109" s="17"/>
      <c r="N109" s="17">
        <f t="shared" ref="N109:N113" si="197">IFERROR((H109*I109),"-")</f>
        <v>0</v>
      </c>
      <c r="O109" s="18"/>
      <c r="P109" s="17">
        <f t="shared" ref="P109:P113" si="198">IFERROR(N109*(1-O109),"-")</f>
        <v>0</v>
      </c>
      <c r="Q109" s="19"/>
      <c r="R109" s="17">
        <f t="shared" ref="R109:R113" si="199">IFERROR(P109*(1+Q109),"-")</f>
        <v>0</v>
      </c>
      <c r="S109" s="17">
        <f t="shared" si="187"/>
        <v>0</v>
      </c>
      <c r="T109" s="18" t="str">
        <f t="shared" ref="T109:T113" si="200">IFERROR(S109/$S$13,"-")</f>
        <v>-</v>
      </c>
      <c r="U109" s="10"/>
      <c r="V109" s="20"/>
      <c r="W109" s="16"/>
      <c r="X109" s="13" t="s">
        <v>29</v>
      </c>
      <c r="Y109" s="17" t="str">
        <f t="shared" ref="Y109:Y113" si="201">IFERROR(S109/V109*1000,"-")</f>
        <v>-</v>
      </c>
      <c r="Z109" s="17" t="str">
        <f t="shared" ref="Z109:Z113" si="202">IFERROR(S109/X109*1000,"-")</f>
        <v>-</v>
      </c>
      <c r="AA109" s="16"/>
      <c r="AB109" s="18" t="str">
        <f t="shared" ref="AB109:AB113" si="203">IFERROR(X109/AA109,"-")</f>
        <v>-</v>
      </c>
      <c r="AC109" s="10"/>
      <c r="AD109" s="19"/>
      <c r="AE109" s="13">
        <f t="shared" ref="AE109:AE113" si="204">IFERROR(ROUNDDOWN(V109*AD109,0),"-")</f>
        <v>0</v>
      </c>
      <c r="AF109" s="17" t="str">
        <f t="shared" ref="AF109:AF113" si="205">IFERROR(S109/AE109,"-")</f>
        <v>-</v>
      </c>
      <c r="AG109" s="10"/>
      <c r="AH109" s="19"/>
      <c r="AI109" s="13">
        <f>IF(G109="CPI",#REF!*AH109,IFERROR(ROUNDDOWN(AE109*AH109,0),"-"))</f>
        <v>0</v>
      </c>
      <c r="AJ109" s="17" t="str">
        <f t="shared" ref="AJ109:AJ113" si="206">IFERROR(S109/AI109,"-")</f>
        <v>-</v>
      </c>
    </row>
    <row r="110" spans="1:36" ht="30.75" customHeight="1" x14ac:dyDescent="0.3">
      <c r="A110" s="10"/>
      <c r="B110" s="11"/>
      <c r="C110" s="12"/>
      <c r="D110" s="12"/>
      <c r="E110" s="10"/>
      <c r="F110" s="13" t="s">
        <v>62</v>
      </c>
      <c r="G110" s="14" t="s">
        <v>27</v>
      </c>
      <c r="H110" s="15"/>
      <c r="I110" s="16">
        <f t="shared" si="196"/>
        <v>0</v>
      </c>
      <c r="J110" s="10"/>
      <c r="K110" s="17"/>
      <c r="L110" s="12"/>
      <c r="M110" s="17"/>
      <c r="N110" s="17">
        <f t="shared" si="197"/>
        <v>0</v>
      </c>
      <c r="O110" s="18"/>
      <c r="P110" s="17">
        <f t="shared" si="198"/>
        <v>0</v>
      </c>
      <c r="Q110" s="19"/>
      <c r="R110" s="17">
        <f t="shared" si="199"/>
        <v>0</v>
      </c>
      <c r="S110" s="17">
        <f t="shared" si="187"/>
        <v>0</v>
      </c>
      <c r="T110" s="18" t="str">
        <f t="shared" si="200"/>
        <v>-</v>
      </c>
      <c r="U110" s="10"/>
      <c r="V110" s="20"/>
      <c r="W110" s="16"/>
      <c r="X110" s="13" t="s">
        <v>29</v>
      </c>
      <c r="Y110" s="17" t="str">
        <f t="shared" si="201"/>
        <v>-</v>
      </c>
      <c r="Z110" s="17" t="str">
        <f t="shared" si="202"/>
        <v>-</v>
      </c>
      <c r="AA110" s="16"/>
      <c r="AB110" s="18" t="str">
        <f t="shared" si="203"/>
        <v>-</v>
      </c>
      <c r="AC110" s="10"/>
      <c r="AD110" s="19"/>
      <c r="AE110" s="13">
        <f t="shared" si="204"/>
        <v>0</v>
      </c>
      <c r="AF110" s="17" t="str">
        <f t="shared" si="205"/>
        <v>-</v>
      </c>
      <c r="AG110" s="10"/>
      <c r="AH110" s="19"/>
      <c r="AI110" s="13">
        <f>IF(G110="CPI",#REF!*AH110,IFERROR(ROUNDDOWN(AE110*AH110,0),"-"))</f>
        <v>0</v>
      </c>
      <c r="AJ110" s="17" t="str">
        <f t="shared" si="206"/>
        <v>-</v>
      </c>
    </row>
    <row r="111" spans="1:36" ht="30.75" customHeight="1" x14ac:dyDescent="0.3">
      <c r="A111" s="10"/>
      <c r="B111" s="11"/>
      <c r="C111" s="12"/>
      <c r="D111" s="12"/>
      <c r="E111" s="10"/>
      <c r="F111" s="13" t="s">
        <v>62</v>
      </c>
      <c r="G111" s="14" t="s">
        <v>27</v>
      </c>
      <c r="H111" s="15"/>
      <c r="I111" s="16">
        <f t="shared" si="196"/>
        <v>0</v>
      </c>
      <c r="J111" s="10"/>
      <c r="K111" s="17"/>
      <c r="L111" s="12"/>
      <c r="M111" s="17"/>
      <c r="N111" s="17">
        <f t="shared" si="197"/>
        <v>0</v>
      </c>
      <c r="O111" s="18"/>
      <c r="P111" s="17">
        <f t="shared" si="198"/>
        <v>0</v>
      </c>
      <c r="Q111" s="19"/>
      <c r="R111" s="17">
        <f t="shared" si="199"/>
        <v>0</v>
      </c>
      <c r="S111" s="17">
        <f t="shared" si="187"/>
        <v>0</v>
      </c>
      <c r="T111" s="18" t="str">
        <f t="shared" si="200"/>
        <v>-</v>
      </c>
      <c r="U111" s="10"/>
      <c r="V111" s="20"/>
      <c r="W111" s="16"/>
      <c r="X111" s="13" t="s">
        <v>29</v>
      </c>
      <c r="Y111" s="17" t="str">
        <f t="shared" si="201"/>
        <v>-</v>
      </c>
      <c r="Z111" s="17" t="str">
        <f t="shared" si="202"/>
        <v>-</v>
      </c>
      <c r="AA111" s="16"/>
      <c r="AB111" s="18" t="str">
        <f t="shared" si="203"/>
        <v>-</v>
      </c>
      <c r="AC111" s="10"/>
      <c r="AD111" s="19"/>
      <c r="AE111" s="13">
        <f t="shared" si="204"/>
        <v>0</v>
      </c>
      <c r="AF111" s="17" t="str">
        <f t="shared" si="205"/>
        <v>-</v>
      </c>
      <c r="AG111" s="10"/>
      <c r="AH111" s="19"/>
      <c r="AI111" s="13">
        <f>IF(G111="CPI",#REF!*AH111,IFERROR(ROUNDDOWN(AE111*AH111,0),"-"))</f>
        <v>0</v>
      </c>
      <c r="AJ111" s="17" t="str">
        <f t="shared" si="206"/>
        <v>-</v>
      </c>
    </row>
    <row r="112" spans="1:36" ht="30.75" customHeight="1" x14ac:dyDescent="0.3">
      <c r="A112" s="10"/>
      <c r="B112" s="11"/>
      <c r="C112" s="12"/>
      <c r="D112" s="12"/>
      <c r="E112" s="10"/>
      <c r="F112" s="13" t="s">
        <v>62</v>
      </c>
      <c r="G112" s="14" t="s">
        <v>27</v>
      </c>
      <c r="H112" s="15"/>
      <c r="I112" s="16">
        <f t="shared" si="196"/>
        <v>0</v>
      </c>
      <c r="J112" s="10"/>
      <c r="K112" s="17"/>
      <c r="L112" s="12"/>
      <c r="M112" s="17"/>
      <c r="N112" s="17">
        <f t="shared" si="197"/>
        <v>0</v>
      </c>
      <c r="O112" s="18"/>
      <c r="P112" s="17">
        <f t="shared" si="198"/>
        <v>0</v>
      </c>
      <c r="Q112" s="19"/>
      <c r="R112" s="17">
        <f t="shared" si="199"/>
        <v>0</v>
      </c>
      <c r="S112" s="17">
        <f t="shared" si="187"/>
        <v>0</v>
      </c>
      <c r="T112" s="18" t="str">
        <f t="shared" si="200"/>
        <v>-</v>
      </c>
      <c r="U112" s="10"/>
      <c r="V112" s="20"/>
      <c r="W112" s="16"/>
      <c r="X112" s="13" t="s">
        <v>29</v>
      </c>
      <c r="Y112" s="17" t="str">
        <f t="shared" si="201"/>
        <v>-</v>
      </c>
      <c r="Z112" s="17" t="str">
        <f t="shared" si="202"/>
        <v>-</v>
      </c>
      <c r="AA112" s="16"/>
      <c r="AB112" s="18" t="str">
        <f t="shared" si="203"/>
        <v>-</v>
      </c>
      <c r="AC112" s="10"/>
      <c r="AD112" s="19"/>
      <c r="AE112" s="13">
        <f t="shared" si="204"/>
        <v>0</v>
      </c>
      <c r="AF112" s="17" t="str">
        <f t="shared" si="205"/>
        <v>-</v>
      </c>
      <c r="AG112" s="10"/>
      <c r="AH112" s="19"/>
      <c r="AI112" s="13">
        <f>IF(G112="CPI",#REF!*AH112,IFERROR(ROUNDDOWN(AE112*AH112,0),"-"))</f>
        <v>0</v>
      </c>
      <c r="AJ112" s="17" t="str">
        <f t="shared" si="206"/>
        <v>-</v>
      </c>
    </row>
    <row r="113" spans="1:36" ht="30.75" customHeight="1" x14ac:dyDescent="0.3">
      <c r="A113" s="10"/>
      <c r="B113" s="11"/>
      <c r="C113" s="12"/>
      <c r="D113" s="12"/>
      <c r="E113" s="10"/>
      <c r="F113" s="13" t="s">
        <v>62</v>
      </c>
      <c r="G113" s="14" t="s">
        <v>27</v>
      </c>
      <c r="H113" s="15"/>
      <c r="I113" s="16">
        <f t="shared" si="196"/>
        <v>0</v>
      </c>
      <c r="J113" s="10"/>
      <c r="K113" s="17"/>
      <c r="L113" s="12"/>
      <c r="M113" s="17"/>
      <c r="N113" s="17">
        <f t="shared" si="197"/>
        <v>0</v>
      </c>
      <c r="O113" s="18"/>
      <c r="P113" s="17">
        <f t="shared" si="198"/>
        <v>0</v>
      </c>
      <c r="Q113" s="19"/>
      <c r="R113" s="17">
        <f t="shared" si="199"/>
        <v>0</v>
      </c>
      <c r="S113" s="17">
        <f t="shared" si="187"/>
        <v>0</v>
      </c>
      <c r="T113" s="18" t="str">
        <f t="shared" si="200"/>
        <v>-</v>
      </c>
      <c r="U113" s="10"/>
      <c r="V113" s="20"/>
      <c r="W113" s="16"/>
      <c r="X113" s="13" t="s">
        <v>29</v>
      </c>
      <c r="Y113" s="17" t="str">
        <f t="shared" si="201"/>
        <v>-</v>
      </c>
      <c r="Z113" s="17" t="str">
        <f t="shared" si="202"/>
        <v>-</v>
      </c>
      <c r="AA113" s="16"/>
      <c r="AB113" s="18" t="str">
        <f t="shared" si="203"/>
        <v>-</v>
      </c>
      <c r="AC113" s="10"/>
      <c r="AD113" s="19"/>
      <c r="AE113" s="13">
        <f t="shared" si="204"/>
        <v>0</v>
      </c>
      <c r="AF113" s="17" t="str">
        <f t="shared" si="205"/>
        <v>-</v>
      </c>
      <c r="AG113" s="10"/>
      <c r="AH113" s="19"/>
      <c r="AI113" s="13">
        <f>IF(G113="CPI",#REF!*AH113,IFERROR(ROUNDDOWN(AE113*AH113,0),"-"))</f>
        <v>0</v>
      </c>
      <c r="AJ113" s="17" t="str">
        <f t="shared" si="206"/>
        <v>-</v>
      </c>
    </row>
    <row r="114" spans="1:36" ht="30.75" customHeight="1" x14ac:dyDescent="0.3">
      <c r="A114" s="10"/>
      <c r="B114" s="11"/>
      <c r="C114" s="12"/>
      <c r="D114" s="12"/>
      <c r="E114" s="10"/>
      <c r="F114" s="13" t="s">
        <v>62</v>
      </c>
      <c r="G114" s="14" t="s">
        <v>27</v>
      </c>
      <c r="H114" s="15"/>
      <c r="I114" s="16">
        <f t="shared" si="195"/>
        <v>0</v>
      </c>
      <c r="J114" s="10"/>
      <c r="K114" s="17"/>
      <c r="L114" s="12"/>
      <c r="M114" s="17"/>
      <c r="N114" s="17">
        <f t="shared" si="184"/>
        <v>0</v>
      </c>
      <c r="O114" s="18"/>
      <c r="P114" s="17">
        <f t="shared" si="185"/>
        <v>0</v>
      </c>
      <c r="Q114" s="19"/>
      <c r="R114" s="17">
        <f t="shared" si="186"/>
        <v>0</v>
      </c>
      <c r="S114" s="17">
        <f t="shared" si="187"/>
        <v>0</v>
      </c>
      <c r="T114" s="18" t="str">
        <f t="shared" si="188"/>
        <v>-</v>
      </c>
      <c r="U114" s="10"/>
      <c r="V114" s="20"/>
      <c r="W114" s="16"/>
      <c r="X114" s="13" t="s">
        <v>29</v>
      </c>
      <c r="Y114" s="17" t="str">
        <f t="shared" si="189"/>
        <v>-</v>
      </c>
      <c r="Z114" s="17" t="str">
        <f t="shared" si="190"/>
        <v>-</v>
      </c>
      <c r="AA114" s="16"/>
      <c r="AB114" s="18" t="str">
        <f t="shared" si="191"/>
        <v>-</v>
      </c>
      <c r="AC114" s="10"/>
      <c r="AD114" s="19"/>
      <c r="AE114" s="13">
        <f t="shared" si="192"/>
        <v>0</v>
      </c>
      <c r="AF114" s="17" t="str">
        <f t="shared" si="193"/>
        <v>-</v>
      </c>
      <c r="AG114" s="10"/>
      <c r="AH114" s="19"/>
      <c r="AI114" s="13">
        <f>IF(G114="CPI",#REF!*AH114,IFERROR(ROUNDDOWN(AE114*AH114,0),"-"))</f>
        <v>0</v>
      </c>
      <c r="AJ114" s="17" t="str">
        <f t="shared" si="194"/>
        <v>-</v>
      </c>
    </row>
    <row r="115" spans="1:36" ht="30.75" customHeight="1" x14ac:dyDescent="0.3">
      <c r="A115" s="10"/>
      <c r="B115" s="11"/>
      <c r="C115" s="12"/>
      <c r="D115" s="12"/>
      <c r="E115" s="10"/>
      <c r="F115" s="13" t="s">
        <v>62</v>
      </c>
      <c r="G115" s="14" t="s">
        <v>27</v>
      </c>
      <c r="H115" s="15"/>
      <c r="I115" s="16">
        <f t="shared" si="195"/>
        <v>0</v>
      </c>
      <c r="J115" s="10"/>
      <c r="K115" s="17"/>
      <c r="L115" s="12"/>
      <c r="M115" s="17"/>
      <c r="N115" s="17">
        <f t="shared" si="184"/>
        <v>0</v>
      </c>
      <c r="O115" s="18"/>
      <c r="P115" s="17">
        <f t="shared" si="185"/>
        <v>0</v>
      </c>
      <c r="Q115" s="19"/>
      <c r="R115" s="17">
        <f t="shared" si="186"/>
        <v>0</v>
      </c>
      <c r="S115" s="17">
        <f t="shared" si="187"/>
        <v>0</v>
      </c>
      <c r="T115" s="18" t="str">
        <f t="shared" si="188"/>
        <v>-</v>
      </c>
      <c r="U115" s="10"/>
      <c r="V115" s="20"/>
      <c r="W115" s="16"/>
      <c r="X115" s="13" t="s">
        <v>29</v>
      </c>
      <c r="Y115" s="17" t="str">
        <f t="shared" si="189"/>
        <v>-</v>
      </c>
      <c r="Z115" s="17" t="str">
        <f t="shared" si="190"/>
        <v>-</v>
      </c>
      <c r="AA115" s="16"/>
      <c r="AB115" s="18" t="str">
        <f t="shared" si="191"/>
        <v>-</v>
      </c>
      <c r="AC115" s="10"/>
      <c r="AD115" s="19"/>
      <c r="AE115" s="13">
        <f t="shared" si="192"/>
        <v>0</v>
      </c>
      <c r="AF115" s="17" t="str">
        <f t="shared" si="193"/>
        <v>-</v>
      </c>
      <c r="AG115" s="10"/>
      <c r="AH115" s="19"/>
      <c r="AI115" s="13">
        <f>IF(G115="CPI",#REF!*AH115,IFERROR(ROUNDDOWN(AE115*AH115,0),"-"))</f>
        <v>0</v>
      </c>
      <c r="AJ115" s="17" t="str">
        <f t="shared" si="194"/>
        <v>-</v>
      </c>
    </row>
    <row r="116" spans="1:36" ht="30.75" customHeight="1" x14ac:dyDescent="0.3">
      <c r="A116" s="10"/>
      <c r="B116" s="11"/>
      <c r="C116" s="12"/>
      <c r="D116" s="12"/>
      <c r="E116" s="10"/>
      <c r="F116" s="13" t="s">
        <v>62</v>
      </c>
      <c r="G116" s="14" t="s">
        <v>27</v>
      </c>
      <c r="H116" s="15"/>
      <c r="I116" s="16">
        <f t="shared" si="195"/>
        <v>0</v>
      </c>
      <c r="J116" s="10"/>
      <c r="K116" s="17"/>
      <c r="L116" s="12"/>
      <c r="M116" s="17"/>
      <c r="N116" s="17">
        <f t="shared" si="184"/>
        <v>0</v>
      </c>
      <c r="O116" s="18"/>
      <c r="P116" s="17">
        <f t="shared" si="185"/>
        <v>0</v>
      </c>
      <c r="Q116" s="19"/>
      <c r="R116" s="17">
        <f t="shared" si="186"/>
        <v>0</v>
      </c>
      <c r="S116" s="17">
        <f t="shared" si="187"/>
        <v>0</v>
      </c>
      <c r="T116" s="18" t="str">
        <f t="shared" si="188"/>
        <v>-</v>
      </c>
      <c r="U116" s="10"/>
      <c r="V116" s="20"/>
      <c r="W116" s="16"/>
      <c r="X116" s="13" t="s">
        <v>29</v>
      </c>
      <c r="Y116" s="17" t="str">
        <f t="shared" si="189"/>
        <v>-</v>
      </c>
      <c r="Z116" s="17" t="str">
        <f t="shared" si="190"/>
        <v>-</v>
      </c>
      <c r="AA116" s="16"/>
      <c r="AB116" s="18" t="str">
        <f t="shared" si="191"/>
        <v>-</v>
      </c>
      <c r="AC116" s="10"/>
      <c r="AD116" s="19"/>
      <c r="AE116" s="13">
        <f t="shared" si="192"/>
        <v>0</v>
      </c>
      <c r="AF116" s="17" t="str">
        <f t="shared" si="193"/>
        <v>-</v>
      </c>
      <c r="AG116" s="10"/>
      <c r="AH116" s="19"/>
      <c r="AI116" s="13">
        <f>IF(G116="CPI",#REF!*AH116,IFERROR(ROUNDDOWN(AE116*AH116,0),"-"))</f>
        <v>0</v>
      </c>
      <c r="AJ116" s="17" t="str">
        <f t="shared" si="194"/>
        <v>-</v>
      </c>
    </row>
    <row r="117" spans="1:36" ht="17.25" customHeight="1" x14ac:dyDescent="0.3">
      <c r="A117" s="22"/>
      <c r="B117" s="6" t="s">
        <v>28</v>
      </c>
      <c r="C117" s="9" t="s">
        <v>29</v>
      </c>
      <c r="D117" s="9" t="s">
        <v>29</v>
      </c>
      <c r="E117" s="22"/>
      <c r="F117" s="9" t="s">
        <v>29</v>
      </c>
      <c r="G117" s="6" t="s">
        <v>29</v>
      </c>
      <c r="H117" s="5" t="str">
        <f>IFERROR(N117/I117,"-")</f>
        <v>-</v>
      </c>
      <c r="I117" s="25">
        <f>IFERROR(SUM(I107:I116),"-")</f>
        <v>0</v>
      </c>
      <c r="J117" s="22"/>
      <c r="K117" s="23"/>
      <c r="L117" s="6">
        <f>IFERROR(SUM(L107:L116),"-")</f>
        <v>0</v>
      </c>
      <c r="M117" s="23"/>
      <c r="N117" s="23">
        <f>IFERROR(SUM(N107:N116),"-")</f>
        <v>0</v>
      </c>
      <c r="O117" s="6" t="s">
        <v>29</v>
      </c>
      <c r="P117" s="23">
        <f>IFERROR(SUM(P107:P116),"-")</f>
        <v>0</v>
      </c>
      <c r="Q117" s="9" t="s">
        <v>29</v>
      </c>
      <c r="R117" s="23">
        <f>IFERROR(SUM(R107:R116),"-")</f>
        <v>0</v>
      </c>
      <c r="S117" s="23">
        <f t="shared" si="187"/>
        <v>0</v>
      </c>
      <c r="T117" s="24">
        <v>0</v>
      </c>
      <c r="U117" s="22"/>
      <c r="V117" s="25">
        <f>IFERROR(SUM(V107:V116),"-")</f>
        <v>0</v>
      </c>
      <c r="W117" s="25" t="s">
        <v>29</v>
      </c>
      <c r="X117" s="25" t="s">
        <v>29</v>
      </c>
      <c r="Y117" s="23" t="str">
        <f t="shared" si="189"/>
        <v>-</v>
      </c>
      <c r="Z117" s="23" t="str">
        <f t="shared" si="190"/>
        <v>-</v>
      </c>
      <c r="AA117" s="6" t="s">
        <v>29</v>
      </c>
      <c r="AB117" s="6" t="s">
        <v>29</v>
      </c>
      <c r="AC117" s="22"/>
      <c r="AD117" s="24" t="str">
        <f>IFERROR(AE117/V117,"-")</f>
        <v>-</v>
      </c>
      <c r="AE117" s="25">
        <f>IFERROR(SUM(AE107:AE116),"-")</f>
        <v>0</v>
      </c>
      <c r="AF117" s="23" t="str">
        <f t="shared" si="193"/>
        <v>-</v>
      </c>
      <c r="AG117" s="22"/>
      <c r="AH117" s="24" t="str">
        <f>IFERROR(AI117/AE117,"-")</f>
        <v>-</v>
      </c>
      <c r="AI117" s="25">
        <f>IFERROR(SUM(AI107:AI116),"-")</f>
        <v>0</v>
      </c>
      <c r="AJ117" s="23" t="str">
        <f t="shared" si="194"/>
        <v>-</v>
      </c>
    </row>
    <row r="118" spans="1:36" ht="15.75" customHeight="1" x14ac:dyDescent="0.3">
      <c r="A118" s="33"/>
      <c r="B118" s="34"/>
      <c r="C118" s="34"/>
      <c r="D118" s="34"/>
      <c r="E118" s="33"/>
      <c r="F118" s="34"/>
      <c r="G118" s="34"/>
      <c r="H118" s="34"/>
      <c r="I118" s="34"/>
      <c r="J118" s="33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3"/>
      <c r="V118" s="34"/>
      <c r="W118" s="34"/>
      <c r="X118" s="34"/>
      <c r="Y118" s="34"/>
      <c r="Z118" s="34"/>
      <c r="AA118" s="34"/>
      <c r="AB118" s="34"/>
      <c r="AC118" s="33"/>
      <c r="AD118" s="34"/>
      <c r="AE118" s="34"/>
      <c r="AF118" s="34"/>
      <c r="AG118" s="33"/>
      <c r="AH118" s="34"/>
      <c r="AI118" s="34"/>
      <c r="AJ118" s="34"/>
    </row>
    <row r="119" spans="1:36" ht="51.75" customHeight="1" x14ac:dyDescent="0.3">
      <c r="A119" s="1"/>
      <c r="B119" s="2" t="s">
        <v>0</v>
      </c>
      <c r="C119" s="2" t="s">
        <v>1</v>
      </c>
      <c r="D119" s="2" t="s">
        <v>2</v>
      </c>
      <c r="E119" s="1"/>
      <c r="F119" s="3" t="s">
        <v>3</v>
      </c>
      <c r="G119" s="2" t="s">
        <v>50</v>
      </c>
      <c r="H119" s="2" t="s">
        <v>51</v>
      </c>
      <c r="I119" s="2" t="s">
        <v>52</v>
      </c>
      <c r="J119" s="1"/>
      <c r="K119" s="39" t="s">
        <v>68</v>
      </c>
      <c r="L119" s="41" t="s">
        <v>69</v>
      </c>
      <c r="M119" s="39" t="s">
        <v>70</v>
      </c>
      <c r="N119" s="4" t="s">
        <v>7</v>
      </c>
      <c r="O119" s="3" t="s">
        <v>8</v>
      </c>
      <c r="P119" s="4" t="s">
        <v>9</v>
      </c>
      <c r="Q119" s="3" t="s">
        <v>10</v>
      </c>
      <c r="R119" s="5" t="s">
        <v>11</v>
      </c>
      <c r="S119" s="5" t="s">
        <v>12</v>
      </c>
      <c r="T119" s="4" t="s">
        <v>13</v>
      </c>
      <c r="U119" s="1"/>
      <c r="V119" s="2" t="s">
        <v>14</v>
      </c>
      <c r="W119" s="2" t="s">
        <v>15</v>
      </c>
      <c r="X119" s="2" t="s">
        <v>16</v>
      </c>
      <c r="Y119" s="2" t="s">
        <v>17</v>
      </c>
      <c r="Z119" s="2" t="s">
        <v>18</v>
      </c>
      <c r="AA119" s="2" t="s">
        <v>19</v>
      </c>
      <c r="AB119" s="2" t="s">
        <v>20</v>
      </c>
      <c r="AC119" s="1"/>
      <c r="AD119" s="6" t="s">
        <v>21</v>
      </c>
      <c r="AE119" s="7" t="s">
        <v>22</v>
      </c>
      <c r="AF119" s="7" t="s">
        <v>23</v>
      </c>
      <c r="AG119" s="1"/>
      <c r="AH119" s="6" t="s">
        <v>24</v>
      </c>
      <c r="AI119" s="8" t="s">
        <v>25</v>
      </c>
      <c r="AJ119" s="8" t="s">
        <v>26</v>
      </c>
    </row>
    <row r="120" spans="1:36" ht="30.75" customHeight="1" x14ac:dyDescent="0.3">
      <c r="A120" s="10"/>
      <c r="B120" s="11"/>
      <c r="C120" s="12"/>
      <c r="D120" s="12"/>
      <c r="E120" s="10"/>
      <c r="F120" s="13" t="s">
        <v>63</v>
      </c>
      <c r="G120" s="14" t="s">
        <v>27</v>
      </c>
      <c r="H120" s="15"/>
      <c r="I120" s="16">
        <f>IFERROR(V120*AD120,"-")</f>
        <v>0</v>
      </c>
      <c r="J120" s="10"/>
      <c r="K120" s="17"/>
      <c r="L120" s="12"/>
      <c r="M120" s="17"/>
      <c r="N120" s="17">
        <f t="shared" ref="N120:N129" si="207">IFERROR((H120*I120),"-")</f>
        <v>0</v>
      </c>
      <c r="O120" s="18"/>
      <c r="P120" s="17">
        <f t="shared" ref="P120:P129" si="208">IFERROR(N120*(1-O120),"-")</f>
        <v>0</v>
      </c>
      <c r="Q120" s="19"/>
      <c r="R120" s="17">
        <f t="shared" ref="R120:R129" si="209">IFERROR(P120*(1+Q120),"-")</f>
        <v>0</v>
      </c>
      <c r="S120" s="17">
        <f t="shared" ref="S120:S130" si="210">IFERROR(R120*1.22,"-")</f>
        <v>0</v>
      </c>
      <c r="T120" s="18" t="str">
        <f t="shared" ref="T120:T129" si="211">IFERROR(S120/$S$13,"-")</f>
        <v>-</v>
      </c>
      <c r="U120" s="10"/>
      <c r="V120" s="20"/>
      <c r="W120" s="16"/>
      <c r="X120" s="13" t="s">
        <v>29</v>
      </c>
      <c r="Y120" s="17" t="str">
        <f t="shared" ref="Y120:Y130" si="212">IFERROR(S120/V120*1000,"-")</f>
        <v>-</v>
      </c>
      <c r="Z120" s="17" t="str">
        <f t="shared" ref="Z120:Z130" si="213">IFERROR(S120/X120*1000,"-")</f>
        <v>-</v>
      </c>
      <c r="AA120" s="16"/>
      <c r="AB120" s="18" t="str">
        <f t="shared" ref="AB120:AB129" si="214">IFERROR(X120/AA120,"-")</f>
        <v>-</v>
      </c>
      <c r="AC120" s="10"/>
      <c r="AD120" s="19"/>
      <c r="AE120" s="13">
        <f t="shared" ref="AE120:AE129" si="215">IFERROR(ROUNDDOWN(V120*AD120,0),"-")</f>
        <v>0</v>
      </c>
      <c r="AF120" s="17" t="str">
        <f t="shared" ref="AF120:AF130" si="216">IFERROR(S120/AE120,"-")</f>
        <v>-</v>
      </c>
      <c r="AG120" s="10"/>
      <c r="AH120" s="19"/>
      <c r="AI120" s="13">
        <f>IF(G120="CPI",#REF!*AH120,IFERROR(ROUNDDOWN(AE120*AH120,0),"-"))</f>
        <v>0</v>
      </c>
      <c r="AJ120" s="17" t="str">
        <f t="shared" ref="AJ120:AJ130" si="217">IFERROR(S120/AI120,"-")</f>
        <v>-</v>
      </c>
    </row>
    <row r="121" spans="1:36" ht="30.75" customHeight="1" x14ac:dyDescent="0.3">
      <c r="A121" s="10"/>
      <c r="B121" s="11"/>
      <c r="C121" s="12"/>
      <c r="D121" s="12"/>
      <c r="E121" s="10"/>
      <c r="F121" s="13" t="s">
        <v>63</v>
      </c>
      <c r="G121" s="14" t="s">
        <v>27</v>
      </c>
      <c r="H121" s="15"/>
      <c r="I121" s="16">
        <f t="shared" ref="I121:I129" si="218">IFERROR(V121*AD121,"-")</f>
        <v>0</v>
      </c>
      <c r="J121" s="10"/>
      <c r="K121" s="17"/>
      <c r="L121" s="12"/>
      <c r="M121" s="17"/>
      <c r="N121" s="17">
        <f t="shared" si="207"/>
        <v>0</v>
      </c>
      <c r="O121" s="18"/>
      <c r="P121" s="17">
        <f t="shared" si="208"/>
        <v>0</v>
      </c>
      <c r="Q121" s="19"/>
      <c r="R121" s="17">
        <f t="shared" si="209"/>
        <v>0</v>
      </c>
      <c r="S121" s="17">
        <f t="shared" si="210"/>
        <v>0</v>
      </c>
      <c r="T121" s="18" t="str">
        <f t="shared" si="211"/>
        <v>-</v>
      </c>
      <c r="U121" s="10"/>
      <c r="V121" s="20"/>
      <c r="W121" s="16"/>
      <c r="X121" s="13" t="s">
        <v>29</v>
      </c>
      <c r="Y121" s="17" t="str">
        <f t="shared" si="212"/>
        <v>-</v>
      </c>
      <c r="Z121" s="17" t="str">
        <f t="shared" si="213"/>
        <v>-</v>
      </c>
      <c r="AA121" s="16"/>
      <c r="AB121" s="18" t="str">
        <f t="shared" si="214"/>
        <v>-</v>
      </c>
      <c r="AC121" s="10"/>
      <c r="AD121" s="19"/>
      <c r="AE121" s="13">
        <f t="shared" si="215"/>
        <v>0</v>
      </c>
      <c r="AF121" s="17" t="str">
        <f t="shared" si="216"/>
        <v>-</v>
      </c>
      <c r="AG121" s="10"/>
      <c r="AH121" s="19"/>
      <c r="AI121" s="13">
        <f>IF(G121="CPI",#REF!*AH121,IFERROR(ROUNDDOWN(AE121*AH121,0),"-"))</f>
        <v>0</v>
      </c>
      <c r="AJ121" s="17" t="str">
        <f t="shared" si="217"/>
        <v>-</v>
      </c>
    </row>
    <row r="122" spans="1:36" ht="30.75" customHeight="1" x14ac:dyDescent="0.3">
      <c r="A122" s="10"/>
      <c r="B122" s="11"/>
      <c r="C122" s="12"/>
      <c r="D122" s="12"/>
      <c r="E122" s="10"/>
      <c r="F122" s="13" t="s">
        <v>63</v>
      </c>
      <c r="G122" s="14" t="s">
        <v>27</v>
      </c>
      <c r="H122" s="15"/>
      <c r="I122" s="16">
        <f t="shared" ref="I122:I126" si="219">IFERROR(V122*AD122,"-")</f>
        <v>0</v>
      </c>
      <c r="J122" s="10"/>
      <c r="K122" s="17"/>
      <c r="L122" s="12"/>
      <c r="M122" s="17"/>
      <c r="N122" s="17">
        <f t="shared" ref="N122:N126" si="220">IFERROR((H122*I122),"-")</f>
        <v>0</v>
      </c>
      <c r="O122" s="18"/>
      <c r="P122" s="17">
        <f t="shared" ref="P122:P126" si="221">IFERROR(N122*(1-O122),"-")</f>
        <v>0</v>
      </c>
      <c r="Q122" s="19"/>
      <c r="R122" s="17">
        <f t="shared" ref="R122:R126" si="222">IFERROR(P122*(1+Q122),"-")</f>
        <v>0</v>
      </c>
      <c r="S122" s="17">
        <f t="shared" si="210"/>
        <v>0</v>
      </c>
      <c r="T122" s="18" t="str">
        <f t="shared" ref="T122:T126" si="223">IFERROR(S122/$S$13,"-")</f>
        <v>-</v>
      </c>
      <c r="U122" s="10"/>
      <c r="V122" s="20"/>
      <c r="W122" s="16"/>
      <c r="X122" s="13" t="s">
        <v>29</v>
      </c>
      <c r="Y122" s="17" t="str">
        <f t="shared" ref="Y122:Y126" si="224">IFERROR(S122/V122*1000,"-")</f>
        <v>-</v>
      </c>
      <c r="Z122" s="17" t="str">
        <f t="shared" ref="Z122:Z126" si="225">IFERROR(S122/X122*1000,"-")</f>
        <v>-</v>
      </c>
      <c r="AA122" s="16"/>
      <c r="AB122" s="18" t="str">
        <f t="shared" ref="AB122:AB126" si="226">IFERROR(X122/AA122,"-")</f>
        <v>-</v>
      </c>
      <c r="AC122" s="10"/>
      <c r="AD122" s="19"/>
      <c r="AE122" s="13">
        <f t="shared" ref="AE122:AE126" si="227">IFERROR(ROUNDDOWN(V122*AD122,0),"-")</f>
        <v>0</v>
      </c>
      <c r="AF122" s="17" t="str">
        <f t="shared" ref="AF122:AF126" si="228">IFERROR(S122/AE122,"-")</f>
        <v>-</v>
      </c>
      <c r="AG122" s="10"/>
      <c r="AH122" s="19"/>
      <c r="AI122" s="13">
        <f>IF(G122="CPI",#REF!*AH122,IFERROR(ROUNDDOWN(AE122*AH122,0),"-"))</f>
        <v>0</v>
      </c>
      <c r="AJ122" s="17" t="str">
        <f t="shared" ref="AJ122:AJ126" si="229">IFERROR(S122/AI122,"-")</f>
        <v>-</v>
      </c>
    </row>
    <row r="123" spans="1:36" ht="30.75" customHeight="1" x14ac:dyDescent="0.3">
      <c r="A123" s="10"/>
      <c r="B123" s="11"/>
      <c r="C123" s="12"/>
      <c r="D123" s="12"/>
      <c r="E123" s="10"/>
      <c r="F123" s="13" t="s">
        <v>63</v>
      </c>
      <c r="G123" s="14" t="s">
        <v>27</v>
      </c>
      <c r="H123" s="15"/>
      <c r="I123" s="16">
        <f t="shared" si="219"/>
        <v>0</v>
      </c>
      <c r="J123" s="10"/>
      <c r="K123" s="17"/>
      <c r="L123" s="12"/>
      <c r="M123" s="17"/>
      <c r="N123" s="17">
        <f t="shared" si="220"/>
        <v>0</v>
      </c>
      <c r="O123" s="18"/>
      <c r="P123" s="17">
        <f t="shared" si="221"/>
        <v>0</v>
      </c>
      <c r="Q123" s="19"/>
      <c r="R123" s="17">
        <f t="shared" si="222"/>
        <v>0</v>
      </c>
      <c r="S123" s="17">
        <f t="shared" si="210"/>
        <v>0</v>
      </c>
      <c r="T123" s="18" t="str">
        <f t="shared" si="223"/>
        <v>-</v>
      </c>
      <c r="U123" s="10"/>
      <c r="V123" s="20"/>
      <c r="W123" s="16"/>
      <c r="X123" s="13" t="s">
        <v>29</v>
      </c>
      <c r="Y123" s="17" t="str">
        <f t="shared" si="224"/>
        <v>-</v>
      </c>
      <c r="Z123" s="17" t="str">
        <f t="shared" si="225"/>
        <v>-</v>
      </c>
      <c r="AA123" s="16"/>
      <c r="AB123" s="18" t="str">
        <f t="shared" si="226"/>
        <v>-</v>
      </c>
      <c r="AC123" s="10"/>
      <c r="AD123" s="19"/>
      <c r="AE123" s="13">
        <f t="shared" si="227"/>
        <v>0</v>
      </c>
      <c r="AF123" s="17" t="str">
        <f t="shared" si="228"/>
        <v>-</v>
      </c>
      <c r="AG123" s="10"/>
      <c r="AH123" s="19"/>
      <c r="AI123" s="13">
        <f>IF(G123="CPI",#REF!*AH123,IFERROR(ROUNDDOWN(AE123*AH123,0),"-"))</f>
        <v>0</v>
      </c>
      <c r="AJ123" s="17" t="str">
        <f t="shared" si="229"/>
        <v>-</v>
      </c>
    </row>
    <row r="124" spans="1:36" ht="30.75" customHeight="1" x14ac:dyDescent="0.3">
      <c r="A124" s="10"/>
      <c r="B124" s="11"/>
      <c r="C124" s="12"/>
      <c r="D124" s="12"/>
      <c r="E124" s="10"/>
      <c r="F124" s="13" t="s">
        <v>63</v>
      </c>
      <c r="G124" s="14" t="s">
        <v>27</v>
      </c>
      <c r="H124" s="15"/>
      <c r="I124" s="16">
        <f t="shared" si="219"/>
        <v>0</v>
      </c>
      <c r="J124" s="10"/>
      <c r="K124" s="17"/>
      <c r="L124" s="12"/>
      <c r="M124" s="17"/>
      <c r="N124" s="17">
        <f t="shared" si="220"/>
        <v>0</v>
      </c>
      <c r="O124" s="18"/>
      <c r="P124" s="17">
        <f t="shared" si="221"/>
        <v>0</v>
      </c>
      <c r="Q124" s="19"/>
      <c r="R124" s="17">
        <f t="shared" si="222"/>
        <v>0</v>
      </c>
      <c r="S124" s="17">
        <f t="shared" si="210"/>
        <v>0</v>
      </c>
      <c r="T124" s="18" t="str">
        <f t="shared" si="223"/>
        <v>-</v>
      </c>
      <c r="U124" s="10"/>
      <c r="V124" s="20"/>
      <c r="W124" s="16"/>
      <c r="X124" s="13" t="s">
        <v>29</v>
      </c>
      <c r="Y124" s="17" t="str">
        <f t="shared" si="224"/>
        <v>-</v>
      </c>
      <c r="Z124" s="17" t="str">
        <f t="shared" si="225"/>
        <v>-</v>
      </c>
      <c r="AA124" s="16"/>
      <c r="AB124" s="18" t="str">
        <f t="shared" si="226"/>
        <v>-</v>
      </c>
      <c r="AC124" s="10"/>
      <c r="AD124" s="19"/>
      <c r="AE124" s="13">
        <f t="shared" si="227"/>
        <v>0</v>
      </c>
      <c r="AF124" s="17" t="str">
        <f t="shared" si="228"/>
        <v>-</v>
      </c>
      <c r="AG124" s="10"/>
      <c r="AH124" s="19"/>
      <c r="AI124" s="13">
        <f>IF(G124="CPI",#REF!*AH124,IFERROR(ROUNDDOWN(AE124*AH124,0),"-"))</f>
        <v>0</v>
      </c>
      <c r="AJ124" s="17" t="str">
        <f t="shared" si="229"/>
        <v>-</v>
      </c>
    </row>
    <row r="125" spans="1:36" ht="30.75" customHeight="1" x14ac:dyDescent="0.3">
      <c r="A125" s="10"/>
      <c r="B125" s="11"/>
      <c r="C125" s="12"/>
      <c r="D125" s="12"/>
      <c r="E125" s="10"/>
      <c r="F125" s="13" t="s">
        <v>63</v>
      </c>
      <c r="G125" s="14" t="s">
        <v>27</v>
      </c>
      <c r="H125" s="15"/>
      <c r="I125" s="16">
        <f t="shared" si="219"/>
        <v>0</v>
      </c>
      <c r="J125" s="10"/>
      <c r="K125" s="17"/>
      <c r="L125" s="12"/>
      <c r="M125" s="17"/>
      <c r="N125" s="17">
        <f t="shared" si="220"/>
        <v>0</v>
      </c>
      <c r="O125" s="18"/>
      <c r="P125" s="17">
        <f t="shared" si="221"/>
        <v>0</v>
      </c>
      <c r="Q125" s="19"/>
      <c r="R125" s="17">
        <f t="shared" si="222"/>
        <v>0</v>
      </c>
      <c r="S125" s="17">
        <f t="shared" si="210"/>
        <v>0</v>
      </c>
      <c r="T125" s="18" t="str">
        <f t="shared" si="223"/>
        <v>-</v>
      </c>
      <c r="U125" s="10"/>
      <c r="V125" s="20"/>
      <c r="W125" s="16"/>
      <c r="X125" s="13" t="s">
        <v>29</v>
      </c>
      <c r="Y125" s="17" t="str">
        <f t="shared" si="224"/>
        <v>-</v>
      </c>
      <c r="Z125" s="17" t="str">
        <f t="shared" si="225"/>
        <v>-</v>
      </c>
      <c r="AA125" s="16"/>
      <c r="AB125" s="18" t="str">
        <f t="shared" si="226"/>
        <v>-</v>
      </c>
      <c r="AC125" s="10"/>
      <c r="AD125" s="19"/>
      <c r="AE125" s="13">
        <f t="shared" si="227"/>
        <v>0</v>
      </c>
      <c r="AF125" s="17" t="str">
        <f t="shared" si="228"/>
        <v>-</v>
      </c>
      <c r="AG125" s="10"/>
      <c r="AH125" s="19"/>
      <c r="AI125" s="13">
        <f>IF(G125="CPI",#REF!*AH125,IFERROR(ROUNDDOWN(AE125*AH125,0),"-"))</f>
        <v>0</v>
      </c>
      <c r="AJ125" s="17" t="str">
        <f t="shared" si="229"/>
        <v>-</v>
      </c>
    </row>
    <row r="126" spans="1:36" ht="30.75" customHeight="1" x14ac:dyDescent="0.3">
      <c r="A126" s="10"/>
      <c r="B126" s="11"/>
      <c r="C126" s="12"/>
      <c r="D126" s="12"/>
      <c r="E126" s="10"/>
      <c r="F126" s="13" t="s">
        <v>63</v>
      </c>
      <c r="G126" s="14" t="s">
        <v>27</v>
      </c>
      <c r="H126" s="15"/>
      <c r="I126" s="16">
        <f t="shared" si="219"/>
        <v>0</v>
      </c>
      <c r="J126" s="10"/>
      <c r="K126" s="17"/>
      <c r="L126" s="12"/>
      <c r="M126" s="17"/>
      <c r="N126" s="17">
        <f t="shared" si="220"/>
        <v>0</v>
      </c>
      <c r="O126" s="18"/>
      <c r="P126" s="17">
        <f t="shared" si="221"/>
        <v>0</v>
      </c>
      <c r="Q126" s="19"/>
      <c r="R126" s="17">
        <f t="shared" si="222"/>
        <v>0</v>
      </c>
      <c r="S126" s="17">
        <f t="shared" si="210"/>
        <v>0</v>
      </c>
      <c r="T126" s="18" t="str">
        <f t="shared" si="223"/>
        <v>-</v>
      </c>
      <c r="U126" s="10"/>
      <c r="V126" s="20"/>
      <c r="W126" s="16"/>
      <c r="X126" s="13" t="s">
        <v>29</v>
      </c>
      <c r="Y126" s="17" t="str">
        <f t="shared" si="224"/>
        <v>-</v>
      </c>
      <c r="Z126" s="17" t="str">
        <f t="shared" si="225"/>
        <v>-</v>
      </c>
      <c r="AA126" s="16"/>
      <c r="AB126" s="18" t="str">
        <f t="shared" si="226"/>
        <v>-</v>
      </c>
      <c r="AC126" s="10"/>
      <c r="AD126" s="19"/>
      <c r="AE126" s="13">
        <f t="shared" si="227"/>
        <v>0</v>
      </c>
      <c r="AF126" s="17" t="str">
        <f t="shared" si="228"/>
        <v>-</v>
      </c>
      <c r="AG126" s="10"/>
      <c r="AH126" s="19"/>
      <c r="AI126" s="13">
        <f>IF(G126="CPI",#REF!*AH126,IFERROR(ROUNDDOWN(AE126*AH126,0),"-"))</f>
        <v>0</v>
      </c>
      <c r="AJ126" s="17" t="str">
        <f t="shared" si="229"/>
        <v>-</v>
      </c>
    </row>
    <row r="127" spans="1:36" ht="30.75" customHeight="1" x14ac:dyDescent="0.3">
      <c r="A127" s="10"/>
      <c r="B127" s="11"/>
      <c r="C127" s="12"/>
      <c r="D127" s="12"/>
      <c r="E127" s="10"/>
      <c r="F127" s="13" t="s">
        <v>63</v>
      </c>
      <c r="G127" s="14" t="s">
        <v>27</v>
      </c>
      <c r="H127" s="15"/>
      <c r="I127" s="16">
        <f t="shared" si="218"/>
        <v>0</v>
      </c>
      <c r="J127" s="10"/>
      <c r="K127" s="17"/>
      <c r="L127" s="12"/>
      <c r="M127" s="17"/>
      <c r="N127" s="17">
        <f t="shared" si="207"/>
        <v>0</v>
      </c>
      <c r="O127" s="18"/>
      <c r="P127" s="17">
        <f t="shared" si="208"/>
        <v>0</v>
      </c>
      <c r="Q127" s="19"/>
      <c r="R127" s="17">
        <f t="shared" si="209"/>
        <v>0</v>
      </c>
      <c r="S127" s="17">
        <f t="shared" si="210"/>
        <v>0</v>
      </c>
      <c r="T127" s="18" t="str">
        <f t="shared" si="211"/>
        <v>-</v>
      </c>
      <c r="U127" s="10"/>
      <c r="V127" s="20"/>
      <c r="W127" s="16"/>
      <c r="X127" s="13" t="s">
        <v>29</v>
      </c>
      <c r="Y127" s="17" t="str">
        <f t="shared" si="212"/>
        <v>-</v>
      </c>
      <c r="Z127" s="17" t="str">
        <f t="shared" si="213"/>
        <v>-</v>
      </c>
      <c r="AA127" s="16"/>
      <c r="AB127" s="18" t="str">
        <f t="shared" si="214"/>
        <v>-</v>
      </c>
      <c r="AC127" s="10"/>
      <c r="AD127" s="19"/>
      <c r="AE127" s="13">
        <f t="shared" si="215"/>
        <v>0</v>
      </c>
      <c r="AF127" s="17" t="str">
        <f t="shared" si="216"/>
        <v>-</v>
      </c>
      <c r="AG127" s="10"/>
      <c r="AH127" s="19"/>
      <c r="AI127" s="13">
        <f>IF(G127="CPI",#REF!*AH127,IFERROR(ROUNDDOWN(AE127*AH127,0),"-"))</f>
        <v>0</v>
      </c>
      <c r="AJ127" s="17" t="str">
        <f t="shared" si="217"/>
        <v>-</v>
      </c>
    </row>
    <row r="128" spans="1:36" ht="30.75" customHeight="1" x14ac:dyDescent="0.3">
      <c r="A128" s="10"/>
      <c r="B128" s="11"/>
      <c r="C128" s="12"/>
      <c r="D128" s="12"/>
      <c r="E128" s="10"/>
      <c r="F128" s="13" t="s">
        <v>63</v>
      </c>
      <c r="G128" s="14" t="s">
        <v>27</v>
      </c>
      <c r="H128" s="15"/>
      <c r="I128" s="16">
        <f t="shared" si="218"/>
        <v>0</v>
      </c>
      <c r="J128" s="10"/>
      <c r="K128" s="17"/>
      <c r="L128" s="12"/>
      <c r="M128" s="17"/>
      <c r="N128" s="17">
        <f t="shared" si="207"/>
        <v>0</v>
      </c>
      <c r="O128" s="18"/>
      <c r="P128" s="17">
        <f t="shared" si="208"/>
        <v>0</v>
      </c>
      <c r="Q128" s="19"/>
      <c r="R128" s="17">
        <f t="shared" si="209"/>
        <v>0</v>
      </c>
      <c r="S128" s="17">
        <f t="shared" si="210"/>
        <v>0</v>
      </c>
      <c r="T128" s="18" t="str">
        <f t="shared" si="211"/>
        <v>-</v>
      </c>
      <c r="U128" s="10"/>
      <c r="V128" s="20"/>
      <c r="W128" s="16"/>
      <c r="X128" s="13" t="s">
        <v>29</v>
      </c>
      <c r="Y128" s="17" t="str">
        <f t="shared" si="212"/>
        <v>-</v>
      </c>
      <c r="Z128" s="17" t="str">
        <f t="shared" si="213"/>
        <v>-</v>
      </c>
      <c r="AA128" s="16"/>
      <c r="AB128" s="18" t="str">
        <f t="shared" si="214"/>
        <v>-</v>
      </c>
      <c r="AC128" s="10"/>
      <c r="AD128" s="19"/>
      <c r="AE128" s="13">
        <f t="shared" si="215"/>
        <v>0</v>
      </c>
      <c r="AF128" s="17" t="str">
        <f t="shared" si="216"/>
        <v>-</v>
      </c>
      <c r="AG128" s="10"/>
      <c r="AH128" s="19"/>
      <c r="AI128" s="13">
        <f>IF(G128="CPI",#REF!*AH128,IFERROR(ROUNDDOWN(AE128*AH128,0),"-"))</f>
        <v>0</v>
      </c>
      <c r="AJ128" s="17" t="str">
        <f t="shared" si="217"/>
        <v>-</v>
      </c>
    </row>
    <row r="129" spans="1:36" ht="30.75" customHeight="1" x14ac:dyDescent="0.3">
      <c r="A129" s="10"/>
      <c r="B129" s="11"/>
      <c r="C129" s="12"/>
      <c r="D129" s="12"/>
      <c r="E129" s="10"/>
      <c r="F129" s="13" t="s">
        <v>63</v>
      </c>
      <c r="G129" s="14" t="s">
        <v>27</v>
      </c>
      <c r="H129" s="15"/>
      <c r="I129" s="16">
        <f t="shared" si="218"/>
        <v>0</v>
      </c>
      <c r="J129" s="10"/>
      <c r="K129" s="17"/>
      <c r="L129" s="12"/>
      <c r="M129" s="17"/>
      <c r="N129" s="17">
        <f t="shared" si="207"/>
        <v>0</v>
      </c>
      <c r="O129" s="18"/>
      <c r="P129" s="17">
        <f t="shared" si="208"/>
        <v>0</v>
      </c>
      <c r="Q129" s="19"/>
      <c r="R129" s="17">
        <f t="shared" si="209"/>
        <v>0</v>
      </c>
      <c r="S129" s="17">
        <f t="shared" si="210"/>
        <v>0</v>
      </c>
      <c r="T129" s="18" t="str">
        <f t="shared" si="211"/>
        <v>-</v>
      </c>
      <c r="U129" s="10"/>
      <c r="V129" s="20"/>
      <c r="W129" s="16"/>
      <c r="X129" s="13" t="s">
        <v>29</v>
      </c>
      <c r="Y129" s="17" t="str">
        <f t="shared" si="212"/>
        <v>-</v>
      </c>
      <c r="Z129" s="17" t="str">
        <f t="shared" si="213"/>
        <v>-</v>
      </c>
      <c r="AA129" s="16"/>
      <c r="AB129" s="18" t="str">
        <f t="shared" si="214"/>
        <v>-</v>
      </c>
      <c r="AC129" s="10"/>
      <c r="AD129" s="19"/>
      <c r="AE129" s="13">
        <f t="shared" si="215"/>
        <v>0</v>
      </c>
      <c r="AF129" s="17" t="str">
        <f t="shared" si="216"/>
        <v>-</v>
      </c>
      <c r="AG129" s="10"/>
      <c r="AH129" s="19"/>
      <c r="AI129" s="13">
        <f>IF(G129="CPI",#REF!*AH129,IFERROR(ROUNDDOWN(AE129*AH129,0),"-"))</f>
        <v>0</v>
      </c>
      <c r="AJ129" s="17" t="str">
        <f t="shared" si="217"/>
        <v>-</v>
      </c>
    </row>
    <row r="130" spans="1:36" ht="17.25" customHeight="1" x14ac:dyDescent="0.3">
      <c r="A130" s="22"/>
      <c r="B130" s="6" t="s">
        <v>28</v>
      </c>
      <c r="C130" s="9" t="s">
        <v>29</v>
      </c>
      <c r="D130" s="9" t="s">
        <v>29</v>
      </c>
      <c r="E130" s="22"/>
      <c r="F130" s="9" t="s">
        <v>29</v>
      </c>
      <c r="G130" s="6" t="s">
        <v>29</v>
      </c>
      <c r="H130" s="5" t="str">
        <f>IFERROR(N130/I130,"-")</f>
        <v>-</v>
      </c>
      <c r="I130" s="25">
        <f>IFERROR(SUM(I120:I129),"-")</f>
        <v>0</v>
      </c>
      <c r="J130" s="22"/>
      <c r="K130" s="23"/>
      <c r="L130" s="6"/>
      <c r="M130" s="23"/>
      <c r="N130" s="23">
        <f>IFERROR(SUM(N120:N129),"-")</f>
        <v>0</v>
      </c>
      <c r="O130" s="6" t="s">
        <v>29</v>
      </c>
      <c r="P130" s="23">
        <f>IFERROR(SUM(P120:P129),"-")</f>
        <v>0</v>
      </c>
      <c r="Q130" s="9" t="s">
        <v>29</v>
      </c>
      <c r="R130" s="23">
        <f>IFERROR(SUM(R120:R129),"-")</f>
        <v>0</v>
      </c>
      <c r="S130" s="23">
        <f t="shared" si="210"/>
        <v>0</v>
      </c>
      <c r="T130" s="24">
        <v>0</v>
      </c>
      <c r="U130" s="22"/>
      <c r="V130" s="25">
        <f>IFERROR(SUM(V120:V129),"-")</f>
        <v>0</v>
      </c>
      <c r="W130" s="25" t="s">
        <v>29</v>
      </c>
      <c r="X130" s="25" t="s">
        <v>29</v>
      </c>
      <c r="Y130" s="23" t="str">
        <f t="shared" si="212"/>
        <v>-</v>
      </c>
      <c r="Z130" s="23" t="str">
        <f t="shared" si="213"/>
        <v>-</v>
      </c>
      <c r="AA130" s="6" t="s">
        <v>29</v>
      </c>
      <c r="AB130" s="6" t="s">
        <v>29</v>
      </c>
      <c r="AC130" s="22"/>
      <c r="AD130" s="24" t="str">
        <f>IFERROR(AE130/V130,"-")</f>
        <v>-</v>
      </c>
      <c r="AE130" s="25">
        <f>IFERROR(SUM(AE120:AE129),"-")</f>
        <v>0</v>
      </c>
      <c r="AF130" s="23" t="str">
        <f t="shared" si="216"/>
        <v>-</v>
      </c>
      <c r="AG130" s="22"/>
      <c r="AH130" s="24" t="str">
        <f>IFERROR(AI130/AE130,"-")</f>
        <v>-</v>
      </c>
      <c r="AI130" s="25">
        <f>IFERROR(SUM(AI120:AI129),"-")</f>
        <v>0</v>
      </c>
      <c r="AJ130" s="23" t="str">
        <f t="shared" si="217"/>
        <v>-</v>
      </c>
    </row>
    <row r="131" spans="1:36" ht="15.75" customHeight="1" x14ac:dyDescent="0.3">
      <c r="A131" s="33"/>
      <c r="B131" s="34"/>
      <c r="C131" s="34"/>
      <c r="D131" s="34"/>
      <c r="E131" s="33"/>
      <c r="F131" s="34"/>
      <c r="G131" s="34"/>
      <c r="H131" s="34"/>
      <c r="I131" s="34"/>
      <c r="J131" s="33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3"/>
      <c r="V131" s="34"/>
      <c r="W131" s="34"/>
      <c r="X131" s="34"/>
      <c r="Y131" s="34"/>
      <c r="Z131" s="34"/>
      <c r="AA131" s="34"/>
      <c r="AB131" s="34"/>
      <c r="AC131" s="33"/>
      <c r="AD131" s="34"/>
      <c r="AE131" s="34"/>
      <c r="AF131" s="34"/>
      <c r="AG131" s="33"/>
      <c r="AH131" s="34"/>
      <c r="AI131" s="34"/>
      <c r="AJ131" s="34"/>
    </row>
    <row r="132" spans="1:36" ht="51.75" customHeight="1" x14ac:dyDescent="0.3">
      <c r="A132" s="1"/>
      <c r="B132" s="2" t="s">
        <v>0</v>
      </c>
      <c r="C132" s="2" t="s">
        <v>1</v>
      </c>
      <c r="D132" s="2" t="s">
        <v>2</v>
      </c>
      <c r="E132" s="1"/>
      <c r="F132" s="3" t="s">
        <v>3</v>
      </c>
      <c r="G132" s="2" t="s">
        <v>50</v>
      </c>
      <c r="H132" s="2" t="s">
        <v>51</v>
      </c>
      <c r="I132" s="2" t="s">
        <v>52</v>
      </c>
      <c r="J132" s="1"/>
      <c r="K132" s="39" t="s">
        <v>68</v>
      </c>
      <c r="L132" s="41" t="s">
        <v>69</v>
      </c>
      <c r="M132" s="39" t="s">
        <v>70</v>
      </c>
      <c r="N132" s="4" t="s">
        <v>7</v>
      </c>
      <c r="O132" s="3" t="s">
        <v>8</v>
      </c>
      <c r="P132" s="4" t="s">
        <v>9</v>
      </c>
      <c r="Q132" s="3" t="s">
        <v>10</v>
      </c>
      <c r="R132" s="5" t="s">
        <v>11</v>
      </c>
      <c r="S132" s="5" t="s">
        <v>12</v>
      </c>
      <c r="T132" s="4" t="s">
        <v>13</v>
      </c>
      <c r="U132" s="1"/>
      <c r="V132" s="2" t="s">
        <v>14</v>
      </c>
      <c r="W132" s="2" t="s">
        <v>15</v>
      </c>
      <c r="X132" s="2" t="s">
        <v>16</v>
      </c>
      <c r="Y132" s="2" t="s">
        <v>17</v>
      </c>
      <c r="Z132" s="2" t="s">
        <v>18</v>
      </c>
      <c r="AA132" s="2" t="s">
        <v>19</v>
      </c>
      <c r="AB132" s="2" t="s">
        <v>20</v>
      </c>
      <c r="AC132" s="1"/>
      <c r="AD132" s="6" t="s">
        <v>21</v>
      </c>
      <c r="AE132" s="7" t="s">
        <v>22</v>
      </c>
      <c r="AF132" s="7" t="s">
        <v>23</v>
      </c>
      <c r="AG132" s="1"/>
      <c r="AH132" s="6" t="s">
        <v>24</v>
      </c>
      <c r="AI132" s="8" t="s">
        <v>25</v>
      </c>
      <c r="AJ132" s="7" t="s">
        <v>53</v>
      </c>
    </row>
    <row r="133" spans="1:36" ht="30.75" customHeight="1" x14ac:dyDescent="0.3">
      <c r="A133" s="10"/>
      <c r="B133" s="11"/>
      <c r="C133" s="12"/>
      <c r="D133" s="12"/>
      <c r="E133" s="10"/>
      <c r="F133" s="13" t="s">
        <v>64</v>
      </c>
      <c r="G133" s="14" t="s">
        <v>27</v>
      </c>
      <c r="H133" s="15"/>
      <c r="I133" s="16">
        <f>IFERROR(V133*AD133,"-")</f>
        <v>0</v>
      </c>
      <c r="J133" s="10"/>
      <c r="K133" s="17"/>
      <c r="L133" s="12"/>
      <c r="M133" s="17"/>
      <c r="N133" s="17">
        <f t="shared" ref="N133:N142" si="230">IFERROR((H133*I133),"-")</f>
        <v>0</v>
      </c>
      <c r="O133" s="18"/>
      <c r="P133" s="17">
        <f t="shared" ref="P133:P142" si="231">IFERROR(N133*(1-O133),"-")</f>
        <v>0</v>
      </c>
      <c r="Q133" s="19"/>
      <c r="R133" s="17">
        <f t="shared" ref="R133:R142" si="232">IFERROR(P133*(1+Q133),"-")</f>
        <v>0</v>
      </c>
      <c r="S133" s="17">
        <f t="shared" ref="S133:S143" si="233">IFERROR(R133*1.22,"-")</f>
        <v>0</v>
      </c>
      <c r="T133" s="18" t="str">
        <f t="shared" ref="T133:T142" si="234">IFERROR(S133/$S$13,"-")</f>
        <v>-</v>
      </c>
      <c r="U133" s="10"/>
      <c r="V133" s="20"/>
      <c r="W133" s="16"/>
      <c r="X133" s="13" t="s">
        <v>29</v>
      </c>
      <c r="Y133" s="17" t="str">
        <f t="shared" ref="Y133:Y143" si="235">IFERROR(S133/V133*1000,"-")</f>
        <v>-</v>
      </c>
      <c r="Z133" s="17" t="str">
        <f t="shared" ref="Z133:Z143" si="236">IFERROR(S133/X133*1000,"-")</f>
        <v>-</v>
      </c>
      <c r="AA133" s="16"/>
      <c r="AB133" s="18" t="str">
        <f t="shared" ref="AB133:AB142" si="237">IFERROR(X133/AA133,"-")</f>
        <v>-</v>
      </c>
      <c r="AC133" s="10"/>
      <c r="AD133" s="19"/>
      <c r="AE133" s="13">
        <f t="shared" ref="AE133:AE142" si="238">IFERROR(ROUNDDOWN(V133*AD133,0),"-")</f>
        <v>0</v>
      </c>
      <c r="AF133" s="17" t="str">
        <f t="shared" ref="AF133:AF143" si="239">IFERROR(S133/AE133,"-")</f>
        <v>-</v>
      </c>
      <c r="AG133" s="10"/>
      <c r="AH133" s="19"/>
      <c r="AI133" s="13">
        <f>IF(G133="CPI",#REF!*AH133,IFERROR(ROUNDDOWN(AE133*AH133,0),"-"))</f>
        <v>0</v>
      </c>
      <c r="AJ133" s="17" t="str">
        <f t="shared" ref="AJ133:AJ143" si="240">IFERROR(S133/AI133,"-")</f>
        <v>-</v>
      </c>
    </row>
    <row r="134" spans="1:36" ht="30.75" customHeight="1" x14ac:dyDescent="0.3">
      <c r="A134" s="10"/>
      <c r="B134" s="11"/>
      <c r="C134" s="12"/>
      <c r="D134" s="12"/>
      <c r="E134" s="10"/>
      <c r="F134" s="13" t="s">
        <v>64</v>
      </c>
      <c r="G134" s="14" t="s">
        <v>27</v>
      </c>
      <c r="H134" s="15"/>
      <c r="I134" s="16">
        <f t="shared" ref="I134:I142" si="241">IFERROR(V134*AD134,"-")</f>
        <v>0</v>
      </c>
      <c r="J134" s="10"/>
      <c r="K134" s="17"/>
      <c r="L134" s="12"/>
      <c r="M134" s="17"/>
      <c r="N134" s="17">
        <f t="shared" si="230"/>
        <v>0</v>
      </c>
      <c r="O134" s="18"/>
      <c r="P134" s="17">
        <f t="shared" si="231"/>
        <v>0</v>
      </c>
      <c r="Q134" s="19"/>
      <c r="R134" s="17">
        <f t="shared" si="232"/>
        <v>0</v>
      </c>
      <c r="S134" s="17">
        <f t="shared" si="233"/>
        <v>0</v>
      </c>
      <c r="T134" s="18" t="str">
        <f t="shared" si="234"/>
        <v>-</v>
      </c>
      <c r="U134" s="10"/>
      <c r="V134" s="20"/>
      <c r="W134" s="16"/>
      <c r="X134" s="13" t="s">
        <v>29</v>
      </c>
      <c r="Y134" s="17" t="str">
        <f t="shared" si="235"/>
        <v>-</v>
      </c>
      <c r="Z134" s="17" t="str">
        <f t="shared" si="236"/>
        <v>-</v>
      </c>
      <c r="AA134" s="16"/>
      <c r="AB134" s="18" t="str">
        <f t="shared" si="237"/>
        <v>-</v>
      </c>
      <c r="AC134" s="10"/>
      <c r="AD134" s="19"/>
      <c r="AE134" s="13">
        <f t="shared" si="238"/>
        <v>0</v>
      </c>
      <c r="AF134" s="17" t="str">
        <f t="shared" si="239"/>
        <v>-</v>
      </c>
      <c r="AG134" s="10"/>
      <c r="AH134" s="19"/>
      <c r="AI134" s="13">
        <f>IF(G134="CPI",#REF!*AH134,IFERROR(ROUNDDOWN(AE134*AH134,0),"-"))</f>
        <v>0</v>
      </c>
      <c r="AJ134" s="17" t="str">
        <f t="shared" si="240"/>
        <v>-</v>
      </c>
    </row>
    <row r="135" spans="1:36" ht="30.75" customHeight="1" x14ac:dyDescent="0.3">
      <c r="A135" s="10"/>
      <c r="B135" s="11"/>
      <c r="C135" s="12"/>
      <c r="D135" s="12"/>
      <c r="E135" s="10"/>
      <c r="F135" s="13" t="s">
        <v>64</v>
      </c>
      <c r="G135" s="14" t="s">
        <v>27</v>
      </c>
      <c r="H135" s="15"/>
      <c r="I135" s="16">
        <f t="shared" ref="I135:I139" si="242">IFERROR(V135*AD135,"-")</f>
        <v>0</v>
      </c>
      <c r="J135" s="10"/>
      <c r="K135" s="17"/>
      <c r="L135" s="12"/>
      <c r="M135" s="17"/>
      <c r="N135" s="17">
        <f t="shared" ref="N135:N139" si="243">IFERROR((H135*I135),"-")</f>
        <v>0</v>
      </c>
      <c r="O135" s="18"/>
      <c r="P135" s="17">
        <f t="shared" ref="P135:P139" si="244">IFERROR(N135*(1-O135),"-")</f>
        <v>0</v>
      </c>
      <c r="Q135" s="19"/>
      <c r="R135" s="17">
        <f t="shared" ref="R135:R139" si="245">IFERROR(P135*(1+Q135),"-")</f>
        <v>0</v>
      </c>
      <c r="S135" s="17">
        <f t="shared" si="233"/>
        <v>0</v>
      </c>
      <c r="T135" s="18" t="str">
        <f t="shared" ref="T135:T139" si="246">IFERROR(S135/$S$13,"-")</f>
        <v>-</v>
      </c>
      <c r="U135" s="10"/>
      <c r="V135" s="20"/>
      <c r="W135" s="16"/>
      <c r="X135" s="13" t="s">
        <v>29</v>
      </c>
      <c r="Y135" s="17" t="str">
        <f t="shared" ref="Y135:Y139" si="247">IFERROR(S135/V135*1000,"-")</f>
        <v>-</v>
      </c>
      <c r="Z135" s="17" t="str">
        <f t="shared" ref="Z135:Z139" si="248">IFERROR(S135/X135*1000,"-")</f>
        <v>-</v>
      </c>
      <c r="AA135" s="16"/>
      <c r="AB135" s="18" t="str">
        <f t="shared" ref="AB135:AB139" si="249">IFERROR(X135/AA135,"-")</f>
        <v>-</v>
      </c>
      <c r="AC135" s="10"/>
      <c r="AD135" s="19"/>
      <c r="AE135" s="13">
        <f t="shared" ref="AE135:AE139" si="250">IFERROR(ROUNDDOWN(V135*AD135,0),"-")</f>
        <v>0</v>
      </c>
      <c r="AF135" s="17" t="str">
        <f t="shared" ref="AF135:AF139" si="251">IFERROR(S135/AE135,"-")</f>
        <v>-</v>
      </c>
      <c r="AG135" s="10"/>
      <c r="AH135" s="19"/>
      <c r="AI135" s="13">
        <f>IF(G135="CPI",#REF!*AH135,IFERROR(ROUNDDOWN(AE135*AH135,0),"-"))</f>
        <v>0</v>
      </c>
      <c r="AJ135" s="17" t="str">
        <f t="shared" ref="AJ135:AJ139" si="252">IFERROR(S135/AI135,"-")</f>
        <v>-</v>
      </c>
    </row>
    <row r="136" spans="1:36" ht="30.75" customHeight="1" x14ac:dyDescent="0.3">
      <c r="A136" s="10"/>
      <c r="B136" s="11"/>
      <c r="C136" s="12"/>
      <c r="D136" s="12"/>
      <c r="E136" s="10"/>
      <c r="F136" s="13" t="s">
        <v>64</v>
      </c>
      <c r="G136" s="14" t="s">
        <v>27</v>
      </c>
      <c r="H136" s="15"/>
      <c r="I136" s="16">
        <f t="shared" si="242"/>
        <v>0</v>
      </c>
      <c r="J136" s="10"/>
      <c r="K136" s="17"/>
      <c r="L136" s="12"/>
      <c r="M136" s="17"/>
      <c r="N136" s="17">
        <f t="shared" si="243"/>
        <v>0</v>
      </c>
      <c r="O136" s="18"/>
      <c r="P136" s="17">
        <f t="shared" si="244"/>
        <v>0</v>
      </c>
      <c r="Q136" s="19"/>
      <c r="R136" s="17">
        <f t="shared" si="245"/>
        <v>0</v>
      </c>
      <c r="S136" s="17">
        <f t="shared" si="233"/>
        <v>0</v>
      </c>
      <c r="T136" s="18" t="str">
        <f t="shared" si="246"/>
        <v>-</v>
      </c>
      <c r="U136" s="10"/>
      <c r="V136" s="20"/>
      <c r="W136" s="16"/>
      <c r="X136" s="13" t="s">
        <v>29</v>
      </c>
      <c r="Y136" s="17" t="str">
        <f t="shared" si="247"/>
        <v>-</v>
      </c>
      <c r="Z136" s="17" t="str">
        <f t="shared" si="248"/>
        <v>-</v>
      </c>
      <c r="AA136" s="16"/>
      <c r="AB136" s="18" t="str">
        <f t="shared" si="249"/>
        <v>-</v>
      </c>
      <c r="AC136" s="10"/>
      <c r="AD136" s="19"/>
      <c r="AE136" s="13">
        <f t="shared" si="250"/>
        <v>0</v>
      </c>
      <c r="AF136" s="17" t="str">
        <f t="shared" si="251"/>
        <v>-</v>
      </c>
      <c r="AG136" s="10"/>
      <c r="AH136" s="19"/>
      <c r="AI136" s="13">
        <f>IF(G136="CPI",#REF!*AH136,IFERROR(ROUNDDOWN(AE136*AH136,0),"-"))</f>
        <v>0</v>
      </c>
      <c r="AJ136" s="17" t="str">
        <f t="shared" si="252"/>
        <v>-</v>
      </c>
    </row>
    <row r="137" spans="1:36" ht="30.75" customHeight="1" x14ac:dyDescent="0.3">
      <c r="A137" s="10"/>
      <c r="B137" s="11"/>
      <c r="C137" s="12"/>
      <c r="D137" s="12"/>
      <c r="E137" s="10"/>
      <c r="F137" s="13" t="s">
        <v>64</v>
      </c>
      <c r="G137" s="14" t="s">
        <v>27</v>
      </c>
      <c r="H137" s="15"/>
      <c r="I137" s="16">
        <f t="shared" si="242"/>
        <v>0</v>
      </c>
      <c r="J137" s="10"/>
      <c r="K137" s="17"/>
      <c r="L137" s="12"/>
      <c r="M137" s="17"/>
      <c r="N137" s="17">
        <f t="shared" si="243"/>
        <v>0</v>
      </c>
      <c r="O137" s="18"/>
      <c r="P137" s="17">
        <f t="shared" si="244"/>
        <v>0</v>
      </c>
      <c r="Q137" s="19"/>
      <c r="R137" s="17">
        <f t="shared" si="245"/>
        <v>0</v>
      </c>
      <c r="S137" s="17">
        <f t="shared" si="233"/>
        <v>0</v>
      </c>
      <c r="T137" s="18" t="str">
        <f t="shared" si="246"/>
        <v>-</v>
      </c>
      <c r="U137" s="10"/>
      <c r="V137" s="20"/>
      <c r="W137" s="16"/>
      <c r="X137" s="13" t="s">
        <v>29</v>
      </c>
      <c r="Y137" s="17" t="str">
        <f t="shared" si="247"/>
        <v>-</v>
      </c>
      <c r="Z137" s="17" t="str">
        <f t="shared" si="248"/>
        <v>-</v>
      </c>
      <c r="AA137" s="16"/>
      <c r="AB137" s="18" t="str">
        <f t="shared" si="249"/>
        <v>-</v>
      </c>
      <c r="AC137" s="10"/>
      <c r="AD137" s="19"/>
      <c r="AE137" s="13">
        <f t="shared" si="250"/>
        <v>0</v>
      </c>
      <c r="AF137" s="17" t="str">
        <f t="shared" si="251"/>
        <v>-</v>
      </c>
      <c r="AG137" s="10"/>
      <c r="AH137" s="19"/>
      <c r="AI137" s="13">
        <f>IF(G137="CPI",#REF!*AH137,IFERROR(ROUNDDOWN(AE137*AH137,0),"-"))</f>
        <v>0</v>
      </c>
      <c r="AJ137" s="17" t="str">
        <f t="shared" si="252"/>
        <v>-</v>
      </c>
    </row>
    <row r="138" spans="1:36" ht="30.75" customHeight="1" x14ac:dyDescent="0.3">
      <c r="A138" s="10"/>
      <c r="B138" s="11"/>
      <c r="C138" s="12"/>
      <c r="D138" s="12"/>
      <c r="E138" s="10"/>
      <c r="F138" s="13" t="s">
        <v>64</v>
      </c>
      <c r="G138" s="14" t="s">
        <v>27</v>
      </c>
      <c r="H138" s="15"/>
      <c r="I138" s="16">
        <f t="shared" si="242"/>
        <v>0</v>
      </c>
      <c r="J138" s="10"/>
      <c r="K138" s="17"/>
      <c r="L138" s="12"/>
      <c r="M138" s="17"/>
      <c r="N138" s="17">
        <f t="shared" si="243"/>
        <v>0</v>
      </c>
      <c r="O138" s="18"/>
      <c r="P138" s="17">
        <f t="shared" si="244"/>
        <v>0</v>
      </c>
      <c r="Q138" s="19"/>
      <c r="R138" s="17">
        <f t="shared" si="245"/>
        <v>0</v>
      </c>
      <c r="S138" s="17">
        <f t="shared" si="233"/>
        <v>0</v>
      </c>
      <c r="T138" s="18" t="str">
        <f t="shared" si="246"/>
        <v>-</v>
      </c>
      <c r="U138" s="10"/>
      <c r="V138" s="20"/>
      <c r="W138" s="16"/>
      <c r="X138" s="13" t="s">
        <v>29</v>
      </c>
      <c r="Y138" s="17" t="str">
        <f t="shared" si="247"/>
        <v>-</v>
      </c>
      <c r="Z138" s="17" t="str">
        <f t="shared" si="248"/>
        <v>-</v>
      </c>
      <c r="AA138" s="16"/>
      <c r="AB138" s="18" t="str">
        <f t="shared" si="249"/>
        <v>-</v>
      </c>
      <c r="AC138" s="10"/>
      <c r="AD138" s="19"/>
      <c r="AE138" s="13">
        <f t="shared" si="250"/>
        <v>0</v>
      </c>
      <c r="AF138" s="17" t="str">
        <f t="shared" si="251"/>
        <v>-</v>
      </c>
      <c r="AG138" s="10"/>
      <c r="AH138" s="19"/>
      <c r="AI138" s="13">
        <f>IF(G138="CPI",#REF!*AH138,IFERROR(ROUNDDOWN(AE138*AH138,0),"-"))</f>
        <v>0</v>
      </c>
      <c r="AJ138" s="17" t="str">
        <f t="shared" si="252"/>
        <v>-</v>
      </c>
    </row>
    <row r="139" spans="1:36" ht="30.75" customHeight="1" x14ac:dyDescent="0.3">
      <c r="A139" s="10"/>
      <c r="B139" s="11"/>
      <c r="C139" s="12"/>
      <c r="D139" s="12"/>
      <c r="E139" s="10"/>
      <c r="F139" s="13" t="s">
        <v>64</v>
      </c>
      <c r="G139" s="14" t="s">
        <v>27</v>
      </c>
      <c r="H139" s="15"/>
      <c r="I139" s="16">
        <f t="shared" si="242"/>
        <v>0</v>
      </c>
      <c r="J139" s="10"/>
      <c r="K139" s="17"/>
      <c r="L139" s="12"/>
      <c r="M139" s="17"/>
      <c r="N139" s="17">
        <f t="shared" si="243"/>
        <v>0</v>
      </c>
      <c r="O139" s="18"/>
      <c r="P139" s="17">
        <f t="shared" si="244"/>
        <v>0</v>
      </c>
      <c r="Q139" s="19"/>
      <c r="R139" s="17">
        <f t="shared" si="245"/>
        <v>0</v>
      </c>
      <c r="S139" s="17">
        <f t="shared" si="233"/>
        <v>0</v>
      </c>
      <c r="T139" s="18" t="str">
        <f t="shared" si="246"/>
        <v>-</v>
      </c>
      <c r="U139" s="10"/>
      <c r="V139" s="20"/>
      <c r="W139" s="16"/>
      <c r="X139" s="13" t="s">
        <v>29</v>
      </c>
      <c r="Y139" s="17" t="str">
        <f t="shared" si="247"/>
        <v>-</v>
      </c>
      <c r="Z139" s="17" t="str">
        <f t="shared" si="248"/>
        <v>-</v>
      </c>
      <c r="AA139" s="16"/>
      <c r="AB139" s="18" t="str">
        <f t="shared" si="249"/>
        <v>-</v>
      </c>
      <c r="AC139" s="10"/>
      <c r="AD139" s="19"/>
      <c r="AE139" s="13">
        <f t="shared" si="250"/>
        <v>0</v>
      </c>
      <c r="AF139" s="17" t="str">
        <f t="shared" si="251"/>
        <v>-</v>
      </c>
      <c r="AG139" s="10"/>
      <c r="AH139" s="19"/>
      <c r="AI139" s="13">
        <f>IF(G139="CPI",#REF!*AH139,IFERROR(ROUNDDOWN(AE139*AH139,0),"-"))</f>
        <v>0</v>
      </c>
      <c r="AJ139" s="17" t="str">
        <f t="shared" si="252"/>
        <v>-</v>
      </c>
    </row>
    <row r="140" spans="1:36" ht="30.75" customHeight="1" x14ac:dyDescent="0.3">
      <c r="A140" s="10"/>
      <c r="B140" s="11"/>
      <c r="C140" s="12"/>
      <c r="D140" s="12"/>
      <c r="E140" s="10"/>
      <c r="F140" s="13" t="s">
        <v>64</v>
      </c>
      <c r="G140" s="14" t="s">
        <v>27</v>
      </c>
      <c r="H140" s="15"/>
      <c r="I140" s="16">
        <f t="shared" si="241"/>
        <v>0</v>
      </c>
      <c r="J140" s="10"/>
      <c r="K140" s="17"/>
      <c r="L140" s="12"/>
      <c r="M140" s="17"/>
      <c r="N140" s="17">
        <f t="shared" si="230"/>
        <v>0</v>
      </c>
      <c r="O140" s="18"/>
      <c r="P140" s="17">
        <f t="shared" si="231"/>
        <v>0</v>
      </c>
      <c r="Q140" s="19"/>
      <c r="R140" s="17">
        <f t="shared" si="232"/>
        <v>0</v>
      </c>
      <c r="S140" s="17">
        <f t="shared" si="233"/>
        <v>0</v>
      </c>
      <c r="T140" s="18" t="str">
        <f t="shared" si="234"/>
        <v>-</v>
      </c>
      <c r="U140" s="10"/>
      <c r="V140" s="20"/>
      <c r="W140" s="16"/>
      <c r="X140" s="13" t="s">
        <v>29</v>
      </c>
      <c r="Y140" s="17" t="str">
        <f t="shared" si="235"/>
        <v>-</v>
      </c>
      <c r="Z140" s="17" t="str">
        <f t="shared" si="236"/>
        <v>-</v>
      </c>
      <c r="AA140" s="16"/>
      <c r="AB140" s="18" t="str">
        <f t="shared" si="237"/>
        <v>-</v>
      </c>
      <c r="AC140" s="10"/>
      <c r="AD140" s="19"/>
      <c r="AE140" s="13">
        <f t="shared" si="238"/>
        <v>0</v>
      </c>
      <c r="AF140" s="17" t="str">
        <f t="shared" si="239"/>
        <v>-</v>
      </c>
      <c r="AG140" s="10"/>
      <c r="AH140" s="19"/>
      <c r="AI140" s="13">
        <f>IF(G140="CPI",#REF!*AH140,IFERROR(ROUNDDOWN(AE140*AH140,0),"-"))</f>
        <v>0</v>
      </c>
      <c r="AJ140" s="17" t="str">
        <f t="shared" si="240"/>
        <v>-</v>
      </c>
    </row>
    <row r="141" spans="1:36" ht="30.75" customHeight="1" x14ac:dyDescent="0.3">
      <c r="A141" s="10"/>
      <c r="B141" s="11"/>
      <c r="C141" s="12"/>
      <c r="D141" s="12"/>
      <c r="E141" s="10"/>
      <c r="F141" s="13" t="s">
        <v>64</v>
      </c>
      <c r="G141" s="14" t="s">
        <v>27</v>
      </c>
      <c r="H141" s="15"/>
      <c r="I141" s="16">
        <f t="shared" si="241"/>
        <v>0</v>
      </c>
      <c r="J141" s="10"/>
      <c r="K141" s="17"/>
      <c r="L141" s="12"/>
      <c r="M141" s="17"/>
      <c r="N141" s="17">
        <f t="shared" si="230"/>
        <v>0</v>
      </c>
      <c r="O141" s="18"/>
      <c r="P141" s="17">
        <f t="shared" si="231"/>
        <v>0</v>
      </c>
      <c r="Q141" s="19"/>
      <c r="R141" s="17">
        <f t="shared" si="232"/>
        <v>0</v>
      </c>
      <c r="S141" s="17">
        <f t="shared" si="233"/>
        <v>0</v>
      </c>
      <c r="T141" s="18" t="str">
        <f t="shared" si="234"/>
        <v>-</v>
      </c>
      <c r="U141" s="10"/>
      <c r="V141" s="20"/>
      <c r="W141" s="16"/>
      <c r="X141" s="13" t="s">
        <v>29</v>
      </c>
      <c r="Y141" s="17" t="str">
        <f t="shared" si="235"/>
        <v>-</v>
      </c>
      <c r="Z141" s="17" t="str">
        <f t="shared" si="236"/>
        <v>-</v>
      </c>
      <c r="AA141" s="16"/>
      <c r="AB141" s="18" t="str">
        <f t="shared" si="237"/>
        <v>-</v>
      </c>
      <c r="AC141" s="10"/>
      <c r="AD141" s="19"/>
      <c r="AE141" s="13">
        <f t="shared" si="238"/>
        <v>0</v>
      </c>
      <c r="AF141" s="17" t="str">
        <f t="shared" si="239"/>
        <v>-</v>
      </c>
      <c r="AG141" s="10"/>
      <c r="AH141" s="19"/>
      <c r="AI141" s="13">
        <f>IF(G141="CPI",#REF!*AH141,IFERROR(ROUNDDOWN(AE141*AH141,0),"-"))</f>
        <v>0</v>
      </c>
      <c r="AJ141" s="17" t="str">
        <f t="shared" si="240"/>
        <v>-</v>
      </c>
    </row>
    <row r="142" spans="1:36" ht="30.75" customHeight="1" x14ac:dyDescent="0.3">
      <c r="A142" s="10"/>
      <c r="B142" s="11"/>
      <c r="C142" s="12"/>
      <c r="D142" s="12"/>
      <c r="E142" s="10"/>
      <c r="F142" s="13" t="s">
        <v>64</v>
      </c>
      <c r="G142" s="14" t="s">
        <v>27</v>
      </c>
      <c r="H142" s="15"/>
      <c r="I142" s="16">
        <f t="shared" si="241"/>
        <v>0</v>
      </c>
      <c r="J142" s="10"/>
      <c r="K142" s="17"/>
      <c r="L142" s="12"/>
      <c r="M142" s="17"/>
      <c r="N142" s="17">
        <f t="shared" si="230"/>
        <v>0</v>
      </c>
      <c r="O142" s="18"/>
      <c r="P142" s="17">
        <f t="shared" si="231"/>
        <v>0</v>
      </c>
      <c r="Q142" s="19"/>
      <c r="R142" s="17">
        <f t="shared" si="232"/>
        <v>0</v>
      </c>
      <c r="S142" s="17">
        <f t="shared" si="233"/>
        <v>0</v>
      </c>
      <c r="T142" s="18" t="str">
        <f t="shared" si="234"/>
        <v>-</v>
      </c>
      <c r="U142" s="10"/>
      <c r="V142" s="20"/>
      <c r="W142" s="16"/>
      <c r="X142" s="13" t="s">
        <v>29</v>
      </c>
      <c r="Y142" s="17" t="str">
        <f t="shared" si="235"/>
        <v>-</v>
      </c>
      <c r="Z142" s="17" t="str">
        <f t="shared" si="236"/>
        <v>-</v>
      </c>
      <c r="AA142" s="16"/>
      <c r="AB142" s="18" t="str">
        <f t="shared" si="237"/>
        <v>-</v>
      </c>
      <c r="AC142" s="10"/>
      <c r="AD142" s="19"/>
      <c r="AE142" s="13">
        <f t="shared" si="238"/>
        <v>0</v>
      </c>
      <c r="AF142" s="17" t="str">
        <f t="shared" si="239"/>
        <v>-</v>
      </c>
      <c r="AG142" s="10"/>
      <c r="AH142" s="19"/>
      <c r="AI142" s="13">
        <f>IF(G142="CPI",#REF!*AH142,IFERROR(ROUNDDOWN(AE142*AH142,0),"-"))</f>
        <v>0</v>
      </c>
      <c r="AJ142" s="17" t="str">
        <f t="shared" si="240"/>
        <v>-</v>
      </c>
    </row>
    <row r="143" spans="1:36" ht="17.25" customHeight="1" x14ac:dyDescent="0.3">
      <c r="A143" s="22"/>
      <c r="B143" s="6" t="s">
        <v>28</v>
      </c>
      <c r="C143" s="9" t="s">
        <v>29</v>
      </c>
      <c r="D143" s="9" t="s">
        <v>29</v>
      </c>
      <c r="E143" s="22"/>
      <c r="F143" s="9" t="s">
        <v>29</v>
      </c>
      <c r="G143" s="6" t="s">
        <v>29</v>
      </c>
      <c r="H143" s="5" t="str">
        <f>IFERROR(N143/I143,"-")</f>
        <v>-</v>
      </c>
      <c r="I143" s="25">
        <f>IFERROR(SUM(I133:I142),"-")</f>
        <v>0</v>
      </c>
      <c r="J143" s="22"/>
      <c r="K143" s="23"/>
      <c r="L143" s="6"/>
      <c r="M143" s="23"/>
      <c r="N143" s="23">
        <f>IFERROR(SUM(N133:N142),"-")</f>
        <v>0</v>
      </c>
      <c r="O143" s="6" t="s">
        <v>29</v>
      </c>
      <c r="P143" s="23">
        <f>IFERROR(SUM(P133:P142),"-")</f>
        <v>0</v>
      </c>
      <c r="Q143" s="9" t="s">
        <v>29</v>
      </c>
      <c r="R143" s="23">
        <f>IFERROR(SUM(R133:R142),"-")</f>
        <v>0</v>
      </c>
      <c r="S143" s="23">
        <f t="shared" si="233"/>
        <v>0</v>
      </c>
      <c r="T143" s="24">
        <v>0</v>
      </c>
      <c r="U143" s="22"/>
      <c r="V143" s="25">
        <f>IFERROR(SUM(V133:V142),"-")</f>
        <v>0</v>
      </c>
      <c r="W143" s="25" t="s">
        <v>29</v>
      </c>
      <c r="X143" s="25" t="s">
        <v>29</v>
      </c>
      <c r="Y143" s="23" t="str">
        <f t="shared" si="235"/>
        <v>-</v>
      </c>
      <c r="Z143" s="23" t="str">
        <f t="shared" si="236"/>
        <v>-</v>
      </c>
      <c r="AA143" s="6" t="s">
        <v>29</v>
      </c>
      <c r="AB143" s="6" t="s">
        <v>29</v>
      </c>
      <c r="AC143" s="22"/>
      <c r="AD143" s="24" t="str">
        <f>IFERROR(AE143/V143,"-")</f>
        <v>-</v>
      </c>
      <c r="AE143" s="25">
        <f>IFERROR(SUM(AE133:AE142),"-")</f>
        <v>0</v>
      </c>
      <c r="AF143" s="23" t="str">
        <f t="shared" si="239"/>
        <v>-</v>
      </c>
      <c r="AG143" s="22"/>
      <c r="AH143" s="24" t="str">
        <f>IFERROR(AI143/AE143,"-")</f>
        <v>-</v>
      </c>
      <c r="AI143" s="25">
        <f>IFERROR(SUM(AI133:AI142),"-")</f>
        <v>0</v>
      </c>
      <c r="AJ143" s="23" t="str">
        <f t="shared" si="240"/>
        <v>-</v>
      </c>
    </row>
    <row r="144" spans="1:36" ht="15.75" customHeight="1" x14ac:dyDescent="0.3">
      <c r="A144" s="33"/>
      <c r="B144" s="34"/>
      <c r="C144" s="34"/>
      <c r="D144" s="34"/>
      <c r="E144" s="33"/>
      <c r="F144" s="34"/>
      <c r="G144" s="34"/>
      <c r="H144" s="34"/>
      <c r="I144" s="34"/>
      <c r="J144" s="33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3"/>
      <c r="V144" s="34"/>
      <c r="W144" s="34"/>
      <c r="X144" s="34"/>
      <c r="Y144" s="34"/>
      <c r="Z144" s="34"/>
      <c r="AA144" s="34"/>
      <c r="AB144" s="34"/>
      <c r="AC144" s="33"/>
      <c r="AD144" s="34"/>
      <c r="AE144" s="34"/>
      <c r="AF144" s="34"/>
      <c r="AG144" s="33"/>
      <c r="AH144" s="34"/>
      <c r="AI144" s="34"/>
      <c r="AJ144" s="34"/>
    </row>
    <row r="145" spans="1:36" ht="51.75" customHeight="1" x14ac:dyDescent="0.3">
      <c r="A145" s="1"/>
      <c r="B145" s="2" t="s">
        <v>0</v>
      </c>
      <c r="C145" s="2" t="s">
        <v>1</v>
      </c>
      <c r="D145" s="2" t="s">
        <v>2</v>
      </c>
      <c r="E145" s="1"/>
      <c r="F145" s="3" t="s">
        <v>3</v>
      </c>
      <c r="G145" s="2" t="s">
        <v>50</v>
      </c>
      <c r="H145" s="2" t="s">
        <v>51</v>
      </c>
      <c r="I145" s="2" t="s">
        <v>52</v>
      </c>
      <c r="J145" s="1"/>
      <c r="K145" s="39" t="s">
        <v>68</v>
      </c>
      <c r="L145" s="41" t="s">
        <v>69</v>
      </c>
      <c r="M145" s="39" t="s">
        <v>70</v>
      </c>
      <c r="N145" s="4" t="s">
        <v>7</v>
      </c>
      <c r="O145" s="3" t="s">
        <v>8</v>
      </c>
      <c r="P145" s="4" t="s">
        <v>9</v>
      </c>
      <c r="Q145" s="3" t="s">
        <v>10</v>
      </c>
      <c r="R145" s="5" t="s">
        <v>11</v>
      </c>
      <c r="S145" s="5" t="s">
        <v>12</v>
      </c>
      <c r="T145" s="4" t="s">
        <v>13</v>
      </c>
      <c r="U145" s="1"/>
      <c r="V145" s="2" t="s">
        <v>14</v>
      </c>
      <c r="W145" s="2" t="s">
        <v>15</v>
      </c>
      <c r="X145" s="2" t="s">
        <v>16</v>
      </c>
      <c r="Y145" s="2" t="s">
        <v>17</v>
      </c>
      <c r="Z145" s="2" t="s">
        <v>18</v>
      </c>
      <c r="AA145" s="2" t="s">
        <v>19</v>
      </c>
      <c r="AB145" s="2" t="s">
        <v>20</v>
      </c>
      <c r="AC145" s="1"/>
      <c r="AD145" s="6" t="s">
        <v>21</v>
      </c>
      <c r="AE145" s="7" t="s">
        <v>22</v>
      </c>
      <c r="AF145" s="7" t="s">
        <v>23</v>
      </c>
      <c r="AG145" s="1"/>
      <c r="AH145" s="6" t="s">
        <v>24</v>
      </c>
      <c r="AI145" s="8" t="s">
        <v>25</v>
      </c>
      <c r="AJ145" s="8" t="s">
        <v>26</v>
      </c>
    </row>
    <row r="146" spans="1:36" ht="30.75" customHeight="1" x14ac:dyDescent="0.3">
      <c r="A146" s="10"/>
      <c r="B146" s="11"/>
      <c r="C146" s="12"/>
      <c r="D146" s="12"/>
      <c r="E146" s="10"/>
      <c r="F146" s="13" t="s">
        <v>65</v>
      </c>
      <c r="G146" s="14" t="s">
        <v>27</v>
      </c>
      <c r="H146" s="15"/>
      <c r="I146" s="16">
        <f>IFERROR(V146*AD146,"-")</f>
        <v>0</v>
      </c>
      <c r="J146" s="10"/>
      <c r="K146" s="17"/>
      <c r="L146" s="12"/>
      <c r="M146" s="17"/>
      <c r="N146" s="17">
        <f t="shared" ref="N146:N155" si="253">IFERROR((H146*I146),"-")</f>
        <v>0</v>
      </c>
      <c r="O146" s="18"/>
      <c r="P146" s="17">
        <f t="shared" ref="P146:P155" si="254">IFERROR(N146*(1-O146),"-")</f>
        <v>0</v>
      </c>
      <c r="Q146" s="19"/>
      <c r="R146" s="17">
        <f t="shared" ref="R146:R155" si="255">IFERROR(P146*(1+Q146),"-")</f>
        <v>0</v>
      </c>
      <c r="S146" s="17">
        <f t="shared" ref="S146:S156" si="256">IFERROR(R146*1.22,"-")</f>
        <v>0</v>
      </c>
      <c r="T146" s="18" t="str">
        <f t="shared" ref="T146:T155" si="257">IFERROR(S146/$S$13,"-")</f>
        <v>-</v>
      </c>
      <c r="U146" s="10"/>
      <c r="V146" s="20"/>
      <c r="W146" s="16"/>
      <c r="X146" s="13" t="s">
        <v>29</v>
      </c>
      <c r="Y146" s="17" t="str">
        <f t="shared" ref="Y146:Y156" si="258">IFERROR(S146/V146*1000,"-")</f>
        <v>-</v>
      </c>
      <c r="Z146" s="17" t="str">
        <f t="shared" ref="Z146:Z156" si="259">IFERROR(S146/X146*1000,"-")</f>
        <v>-</v>
      </c>
      <c r="AA146" s="16"/>
      <c r="AB146" s="18" t="str">
        <f t="shared" ref="AB146:AB155" si="260">IFERROR(X146/AA146,"-")</f>
        <v>-</v>
      </c>
      <c r="AC146" s="10"/>
      <c r="AD146" s="19"/>
      <c r="AE146" s="13">
        <f t="shared" ref="AE146:AE155" si="261">IFERROR(ROUNDDOWN(V146*AD146,0),"-")</f>
        <v>0</v>
      </c>
      <c r="AF146" s="17" t="str">
        <f t="shared" ref="AF146:AF156" si="262">IFERROR(S146/AE146,"-")</f>
        <v>-</v>
      </c>
      <c r="AG146" s="10"/>
      <c r="AH146" s="19"/>
      <c r="AI146" s="13">
        <f>IF(G146="CPI",#REF!*AH146,IFERROR(ROUNDDOWN(AE146*AH146,0),"-"))</f>
        <v>0</v>
      </c>
      <c r="AJ146" s="17" t="str">
        <f t="shared" ref="AJ146:AJ156" si="263">IFERROR(S146/AI146,"-")</f>
        <v>-</v>
      </c>
    </row>
    <row r="147" spans="1:36" ht="30.75" customHeight="1" x14ac:dyDescent="0.3">
      <c r="A147" s="10"/>
      <c r="B147" s="11"/>
      <c r="C147" s="12"/>
      <c r="D147" s="12"/>
      <c r="E147" s="10"/>
      <c r="F147" s="13" t="s">
        <v>65</v>
      </c>
      <c r="G147" s="14" t="s">
        <v>27</v>
      </c>
      <c r="H147" s="15"/>
      <c r="I147" s="16">
        <f t="shared" ref="I147:I155" si="264">IFERROR(V147*AD147,"-")</f>
        <v>0</v>
      </c>
      <c r="J147" s="10"/>
      <c r="K147" s="17"/>
      <c r="L147" s="12"/>
      <c r="M147" s="17"/>
      <c r="N147" s="17">
        <f t="shared" si="253"/>
        <v>0</v>
      </c>
      <c r="O147" s="18"/>
      <c r="P147" s="17">
        <f t="shared" si="254"/>
        <v>0</v>
      </c>
      <c r="Q147" s="19"/>
      <c r="R147" s="17">
        <f t="shared" si="255"/>
        <v>0</v>
      </c>
      <c r="S147" s="17">
        <f t="shared" si="256"/>
        <v>0</v>
      </c>
      <c r="T147" s="18" t="str">
        <f t="shared" si="257"/>
        <v>-</v>
      </c>
      <c r="U147" s="10"/>
      <c r="V147" s="20"/>
      <c r="W147" s="16"/>
      <c r="X147" s="13" t="s">
        <v>29</v>
      </c>
      <c r="Y147" s="17" t="str">
        <f t="shared" si="258"/>
        <v>-</v>
      </c>
      <c r="Z147" s="17" t="str">
        <f t="shared" si="259"/>
        <v>-</v>
      </c>
      <c r="AA147" s="16"/>
      <c r="AB147" s="18" t="str">
        <f t="shared" si="260"/>
        <v>-</v>
      </c>
      <c r="AC147" s="10"/>
      <c r="AD147" s="19"/>
      <c r="AE147" s="13">
        <f t="shared" si="261"/>
        <v>0</v>
      </c>
      <c r="AF147" s="17" t="str">
        <f t="shared" si="262"/>
        <v>-</v>
      </c>
      <c r="AG147" s="10"/>
      <c r="AH147" s="19"/>
      <c r="AI147" s="13">
        <f>IF(G147="CPI",#REF!*AH147,IFERROR(ROUNDDOWN(AE147*AH147,0),"-"))</f>
        <v>0</v>
      </c>
      <c r="AJ147" s="17" t="str">
        <f t="shared" si="263"/>
        <v>-</v>
      </c>
    </row>
    <row r="148" spans="1:36" ht="30.75" customHeight="1" x14ac:dyDescent="0.3">
      <c r="A148" s="10"/>
      <c r="B148" s="11"/>
      <c r="C148" s="12"/>
      <c r="D148" s="12"/>
      <c r="E148" s="10"/>
      <c r="F148" s="13" t="s">
        <v>65</v>
      </c>
      <c r="G148" s="14" t="s">
        <v>27</v>
      </c>
      <c r="H148" s="15"/>
      <c r="I148" s="16">
        <f t="shared" ref="I148:I152" si="265">IFERROR(V148*AD148,"-")</f>
        <v>0</v>
      </c>
      <c r="J148" s="10"/>
      <c r="K148" s="17"/>
      <c r="L148" s="12"/>
      <c r="M148" s="17"/>
      <c r="N148" s="17">
        <f t="shared" ref="N148:N152" si="266">IFERROR((H148*I148),"-")</f>
        <v>0</v>
      </c>
      <c r="O148" s="18"/>
      <c r="P148" s="17">
        <f t="shared" ref="P148:P152" si="267">IFERROR(N148*(1-O148),"-")</f>
        <v>0</v>
      </c>
      <c r="Q148" s="19"/>
      <c r="R148" s="17">
        <f t="shared" ref="R148:R152" si="268">IFERROR(P148*(1+Q148),"-")</f>
        <v>0</v>
      </c>
      <c r="S148" s="17">
        <f t="shared" si="256"/>
        <v>0</v>
      </c>
      <c r="T148" s="18" t="str">
        <f t="shared" ref="T148:T152" si="269">IFERROR(S148/$S$13,"-")</f>
        <v>-</v>
      </c>
      <c r="U148" s="10"/>
      <c r="V148" s="20"/>
      <c r="W148" s="16"/>
      <c r="X148" s="13" t="s">
        <v>29</v>
      </c>
      <c r="Y148" s="17" t="str">
        <f t="shared" ref="Y148:Y152" si="270">IFERROR(S148/V148*1000,"-")</f>
        <v>-</v>
      </c>
      <c r="Z148" s="17" t="str">
        <f t="shared" ref="Z148:Z152" si="271">IFERROR(S148/X148*1000,"-")</f>
        <v>-</v>
      </c>
      <c r="AA148" s="16"/>
      <c r="AB148" s="18" t="str">
        <f t="shared" ref="AB148:AB152" si="272">IFERROR(X148/AA148,"-")</f>
        <v>-</v>
      </c>
      <c r="AC148" s="10"/>
      <c r="AD148" s="19"/>
      <c r="AE148" s="13">
        <f t="shared" ref="AE148:AE152" si="273">IFERROR(ROUNDDOWN(V148*AD148,0),"-")</f>
        <v>0</v>
      </c>
      <c r="AF148" s="17" t="str">
        <f t="shared" ref="AF148:AF152" si="274">IFERROR(S148/AE148,"-")</f>
        <v>-</v>
      </c>
      <c r="AG148" s="10"/>
      <c r="AH148" s="19"/>
      <c r="AI148" s="13">
        <f>IF(G148="CPI",#REF!*AH148,IFERROR(ROUNDDOWN(AE148*AH148,0),"-"))</f>
        <v>0</v>
      </c>
      <c r="AJ148" s="17" t="str">
        <f t="shared" ref="AJ148:AJ152" si="275">IFERROR(S148/AI148,"-")</f>
        <v>-</v>
      </c>
    </row>
    <row r="149" spans="1:36" ht="30.75" customHeight="1" x14ac:dyDescent="0.3">
      <c r="A149" s="10"/>
      <c r="B149" s="11"/>
      <c r="C149" s="12"/>
      <c r="D149" s="12"/>
      <c r="E149" s="10"/>
      <c r="F149" s="13" t="s">
        <v>65</v>
      </c>
      <c r="G149" s="14" t="s">
        <v>27</v>
      </c>
      <c r="H149" s="15"/>
      <c r="I149" s="16">
        <f t="shared" si="265"/>
        <v>0</v>
      </c>
      <c r="J149" s="10"/>
      <c r="K149" s="17"/>
      <c r="L149" s="12"/>
      <c r="M149" s="17"/>
      <c r="N149" s="17">
        <f t="shared" si="266"/>
        <v>0</v>
      </c>
      <c r="O149" s="18"/>
      <c r="P149" s="17">
        <f t="shared" si="267"/>
        <v>0</v>
      </c>
      <c r="Q149" s="19"/>
      <c r="R149" s="17">
        <f t="shared" si="268"/>
        <v>0</v>
      </c>
      <c r="S149" s="17">
        <f t="shared" si="256"/>
        <v>0</v>
      </c>
      <c r="T149" s="18" t="str">
        <f t="shared" si="269"/>
        <v>-</v>
      </c>
      <c r="U149" s="10"/>
      <c r="V149" s="20"/>
      <c r="W149" s="16"/>
      <c r="X149" s="13" t="s">
        <v>29</v>
      </c>
      <c r="Y149" s="17" t="str">
        <f t="shared" si="270"/>
        <v>-</v>
      </c>
      <c r="Z149" s="17" t="str">
        <f t="shared" si="271"/>
        <v>-</v>
      </c>
      <c r="AA149" s="16"/>
      <c r="AB149" s="18" t="str">
        <f t="shared" si="272"/>
        <v>-</v>
      </c>
      <c r="AC149" s="10"/>
      <c r="AD149" s="19"/>
      <c r="AE149" s="13">
        <f t="shared" si="273"/>
        <v>0</v>
      </c>
      <c r="AF149" s="17" t="str">
        <f t="shared" si="274"/>
        <v>-</v>
      </c>
      <c r="AG149" s="10"/>
      <c r="AH149" s="19"/>
      <c r="AI149" s="13">
        <f>IF(G149="CPI",#REF!*AH149,IFERROR(ROUNDDOWN(AE149*AH149,0),"-"))</f>
        <v>0</v>
      </c>
      <c r="AJ149" s="17" t="str">
        <f t="shared" si="275"/>
        <v>-</v>
      </c>
    </row>
    <row r="150" spans="1:36" ht="30.75" customHeight="1" x14ac:dyDescent="0.3">
      <c r="A150" s="10"/>
      <c r="B150" s="11"/>
      <c r="C150" s="12"/>
      <c r="D150" s="12"/>
      <c r="E150" s="10"/>
      <c r="F150" s="13" t="s">
        <v>65</v>
      </c>
      <c r="G150" s="14" t="s">
        <v>27</v>
      </c>
      <c r="H150" s="15"/>
      <c r="I150" s="16">
        <f t="shared" si="265"/>
        <v>0</v>
      </c>
      <c r="J150" s="10"/>
      <c r="K150" s="17"/>
      <c r="L150" s="12"/>
      <c r="M150" s="17"/>
      <c r="N150" s="17">
        <f t="shared" si="266"/>
        <v>0</v>
      </c>
      <c r="O150" s="18"/>
      <c r="P150" s="17">
        <f t="shared" si="267"/>
        <v>0</v>
      </c>
      <c r="Q150" s="19"/>
      <c r="R150" s="17">
        <f t="shared" si="268"/>
        <v>0</v>
      </c>
      <c r="S150" s="17">
        <f t="shared" si="256"/>
        <v>0</v>
      </c>
      <c r="T150" s="18" t="str">
        <f t="shared" si="269"/>
        <v>-</v>
      </c>
      <c r="U150" s="10"/>
      <c r="V150" s="20"/>
      <c r="W150" s="16"/>
      <c r="X150" s="13" t="s">
        <v>29</v>
      </c>
      <c r="Y150" s="17" t="str">
        <f t="shared" si="270"/>
        <v>-</v>
      </c>
      <c r="Z150" s="17" t="str">
        <f t="shared" si="271"/>
        <v>-</v>
      </c>
      <c r="AA150" s="16"/>
      <c r="AB150" s="18" t="str">
        <f t="shared" si="272"/>
        <v>-</v>
      </c>
      <c r="AC150" s="10"/>
      <c r="AD150" s="19"/>
      <c r="AE150" s="13">
        <f t="shared" si="273"/>
        <v>0</v>
      </c>
      <c r="AF150" s="17" t="str">
        <f t="shared" si="274"/>
        <v>-</v>
      </c>
      <c r="AG150" s="10"/>
      <c r="AH150" s="19"/>
      <c r="AI150" s="13">
        <f>IF(G150="CPI",#REF!*AH150,IFERROR(ROUNDDOWN(AE150*AH150,0),"-"))</f>
        <v>0</v>
      </c>
      <c r="AJ150" s="17" t="str">
        <f t="shared" si="275"/>
        <v>-</v>
      </c>
    </row>
    <row r="151" spans="1:36" ht="30.75" customHeight="1" x14ac:dyDescent="0.3">
      <c r="A151" s="10"/>
      <c r="B151" s="11"/>
      <c r="C151" s="12"/>
      <c r="D151" s="12"/>
      <c r="E151" s="10"/>
      <c r="F151" s="13" t="s">
        <v>65</v>
      </c>
      <c r="G151" s="14" t="s">
        <v>27</v>
      </c>
      <c r="H151" s="15"/>
      <c r="I151" s="16">
        <f t="shared" si="265"/>
        <v>0</v>
      </c>
      <c r="J151" s="10"/>
      <c r="K151" s="17"/>
      <c r="L151" s="12"/>
      <c r="M151" s="17"/>
      <c r="N151" s="17">
        <f t="shared" si="266"/>
        <v>0</v>
      </c>
      <c r="O151" s="18"/>
      <c r="P151" s="17">
        <f t="shared" si="267"/>
        <v>0</v>
      </c>
      <c r="Q151" s="19"/>
      <c r="R151" s="17">
        <f t="shared" si="268"/>
        <v>0</v>
      </c>
      <c r="S151" s="17">
        <f t="shared" si="256"/>
        <v>0</v>
      </c>
      <c r="T151" s="18" t="str">
        <f t="shared" si="269"/>
        <v>-</v>
      </c>
      <c r="U151" s="10"/>
      <c r="V151" s="20"/>
      <c r="W151" s="16"/>
      <c r="X151" s="13" t="s">
        <v>29</v>
      </c>
      <c r="Y151" s="17" t="str">
        <f t="shared" si="270"/>
        <v>-</v>
      </c>
      <c r="Z151" s="17" t="str">
        <f t="shared" si="271"/>
        <v>-</v>
      </c>
      <c r="AA151" s="16"/>
      <c r="AB151" s="18" t="str">
        <f t="shared" si="272"/>
        <v>-</v>
      </c>
      <c r="AC151" s="10"/>
      <c r="AD151" s="19"/>
      <c r="AE151" s="13">
        <f t="shared" si="273"/>
        <v>0</v>
      </c>
      <c r="AF151" s="17" t="str">
        <f t="shared" si="274"/>
        <v>-</v>
      </c>
      <c r="AG151" s="10"/>
      <c r="AH151" s="19"/>
      <c r="AI151" s="13">
        <f>IF(G151="CPI",#REF!*AH151,IFERROR(ROUNDDOWN(AE151*AH151,0),"-"))</f>
        <v>0</v>
      </c>
      <c r="AJ151" s="17" t="str">
        <f t="shared" si="275"/>
        <v>-</v>
      </c>
    </row>
    <row r="152" spans="1:36" ht="30.75" customHeight="1" x14ac:dyDescent="0.3">
      <c r="A152" s="10"/>
      <c r="B152" s="11"/>
      <c r="C152" s="12"/>
      <c r="D152" s="12"/>
      <c r="E152" s="10"/>
      <c r="F152" s="13" t="s">
        <v>65</v>
      </c>
      <c r="G152" s="14" t="s">
        <v>27</v>
      </c>
      <c r="H152" s="15"/>
      <c r="I152" s="16">
        <f t="shared" si="265"/>
        <v>0</v>
      </c>
      <c r="J152" s="10"/>
      <c r="K152" s="17"/>
      <c r="L152" s="12"/>
      <c r="M152" s="17"/>
      <c r="N152" s="17">
        <f t="shared" si="266"/>
        <v>0</v>
      </c>
      <c r="O152" s="18"/>
      <c r="P152" s="17">
        <f t="shared" si="267"/>
        <v>0</v>
      </c>
      <c r="Q152" s="19"/>
      <c r="R152" s="17">
        <f t="shared" si="268"/>
        <v>0</v>
      </c>
      <c r="S152" s="17">
        <f t="shared" si="256"/>
        <v>0</v>
      </c>
      <c r="T152" s="18" t="str">
        <f t="shared" si="269"/>
        <v>-</v>
      </c>
      <c r="U152" s="10"/>
      <c r="V152" s="20"/>
      <c r="W152" s="16"/>
      <c r="X152" s="13" t="s">
        <v>29</v>
      </c>
      <c r="Y152" s="17" t="str">
        <f t="shared" si="270"/>
        <v>-</v>
      </c>
      <c r="Z152" s="17" t="str">
        <f t="shared" si="271"/>
        <v>-</v>
      </c>
      <c r="AA152" s="16"/>
      <c r="AB152" s="18" t="str">
        <f t="shared" si="272"/>
        <v>-</v>
      </c>
      <c r="AC152" s="10"/>
      <c r="AD152" s="19"/>
      <c r="AE152" s="13">
        <f t="shared" si="273"/>
        <v>0</v>
      </c>
      <c r="AF152" s="17" t="str">
        <f t="shared" si="274"/>
        <v>-</v>
      </c>
      <c r="AG152" s="10"/>
      <c r="AH152" s="19"/>
      <c r="AI152" s="13">
        <f>IF(G152="CPI",#REF!*AH152,IFERROR(ROUNDDOWN(AE152*AH152,0),"-"))</f>
        <v>0</v>
      </c>
      <c r="AJ152" s="17" t="str">
        <f t="shared" si="275"/>
        <v>-</v>
      </c>
    </row>
    <row r="153" spans="1:36" ht="30.75" customHeight="1" x14ac:dyDescent="0.3">
      <c r="A153" s="10"/>
      <c r="B153" s="11"/>
      <c r="C153" s="12"/>
      <c r="D153" s="12"/>
      <c r="E153" s="10"/>
      <c r="F153" s="13" t="s">
        <v>65</v>
      </c>
      <c r="G153" s="14" t="s">
        <v>27</v>
      </c>
      <c r="H153" s="15"/>
      <c r="I153" s="16">
        <f t="shared" si="264"/>
        <v>0</v>
      </c>
      <c r="J153" s="10"/>
      <c r="K153" s="17"/>
      <c r="L153" s="12"/>
      <c r="M153" s="17"/>
      <c r="N153" s="17">
        <f t="shared" si="253"/>
        <v>0</v>
      </c>
      <c r="O153" s="18"/>
      <c r="P153" s="17">
        <f t="shared" si="254"/>
        <v>0</v>
      </c>
      <c r="Q153" s="19"/>
      <c r="R153" s="17">
        <f t="shared" si="255"/>
        <v>0</v>
      </c>
      <c r="S153" s="17">
        <f t="shared" si="256"/>
        <v>0</v>
      </c>
      <c r="T153" s="18" t="str">
        <f t="shared" si="257"/>
        <v>-</v>
      </c>
      <c r="U153" s="10"/>
      <c r="V153" s="20"/>
      <c r="W153" s="16"/>
      <c r="X153" s="13" t="s">
        <v>29</v>
      </c>
      <c r="Y153" s="17" t="str">
        <f t="shared" si="258"/>
        <v>-</v>
      </c>
      <c r="Z153" s="17" t="str">
        <f t="shared" si="259"/>
        <v>-</v>
      </c>
      <c r="AA153" s="16"/>
      <c r="AB153" s="18" t="str">
        <f t="shared" si="260"/>
        <v>-</v>
      </c>
      <c r="AC153" s="10"/>
      <c r="AD153" s="19"/>
      <c r="AE153" s="13">
        <f t="shared" si="261"/>
        <v>0</v>
      </c>
      <c r="AF153" s="17" t="str">
        <f t="shared" si="262"/>
        <v>-</v>
      </c>
      <c r="AG153" s="10"/>
      <c r="AH153" s="19"/>
      <c r="AI153" s="13">
        <f>IF(G153="CPI",#REF!*AH153,IFERROR(ROUNDDOWN(AE153*AH153,0),"-"))</f>
        <v>0</v>
      </c>
      <c r="AJ153" s="17" t="str">
        <f t="shared" si="263"/>
        <v>-</v>
      </c>
    </row>
    <row r="154" spans="1:36" ht="30.75" customHeight="1" x14ac:dyDescent="0.3">
      <c r="A154" s="10"/>
      <c r="B154" s="11"/>
      <c r="C154" s="12"/>
      <c r="D154" s="12"/>
      <c r="E154" s="10"/>
      <c r="F154" s="13" t="s">
        <v>65</v>
      </c>
      <c r="G154" s="14" t="s">
        <v>27</v>
      </c>
      <c r="H154" s="15"/>
      <c r="I154" s="16">
        <f t="shared" si="264"/>
        <v>0</v>
      </c>
      <c r="J154" s="10"/>
      <c r="K154" s="17"/>
      <c r="L154" s="12"/>
      <c r="M154" s="17"/>
      <c r="N154" s="17">
        <f t="shared" si="253"/>
        <v>0</v>
      </c>
      <c r="O154" s="18"/>
      <c r="P154" s="17">
        <f t="shared" si="254"/>
        <v>0</v>
      </c>
      <c r="Q154" s="19"/>
      <c r="R154" s="17">
        <f t="shared" si="255"/>
        <v>0</v>
      </c>
      <c r="S154" s="17">
        <f t="shared" si="256"/>
        <v>0</v>
      </c>
      <c r="T154" s="18" t="str">
        <f t="shared" si="257"/>
        <v>-</v>
      </c>
      <c r="U154" s="10"/>
      <c r="V154" s="20"/>
      <c r="W154" s="16"/>
      <c r="X154" s="13" t="s">
        <v>29</v>
      </c>
      <c r="Y154" s="17" t="str">
        <f t="shared" si="258"/>
        <v>-</v>
      </c>
      <c r="Z154" s="17" t="str">
        <f t="shared" si="259"/>
        <v>-</v>
      </c>
      <c r="AA154" s="16"/>
      <c r="AB154" s="18" t="str">
        <f t="shared" si="260"/>
        <v>-</v>
      </c>
      <c r="AC154" s="10"/>
      <c r="AD154" s="19"/>
      <c r="AE154" s="13">
        <f t="shared" si="261"/>
        <v>0</v>
      </c>
      <c r="AF154" s="17" t="str">
        <f t="shared" si="262"/>
        <v>-</v>
      </c>
      <c r="AG154" s="10"/>
      <c r="AH154" s="19"/>
      <c r="AI154" s="13">
        <f>IF(G154="CPI",#REF!*AH154,IFERROR(ROUNDDOWN(AE154*AH154,0),"-"))</f>
        <v>0</v>
      </c>
      <c r="AJ154" s="17" t="str">
        <f t="shared" si="263"/>
        <v>-</v>
      </c>
    </row>
    <row r="155" spans="1:36" ht="30.75" customHeight="1" x14ac:dyDescent="0.3">
      <c r="A155" s="10"/>
      <c r="B155" s="11"/>
      <c r="C155" s="12"/>
      <c r="D155" s="12"/>
      <c r="E155" s="10"/>
      <c r="F155" s="13" t="s">
        <v>65</v>
      </c>
      <c r="G155" s="14" t="s">
        <v>27</v>
      </c>
      <c r="H155" s="15"/>
      <c r="I155" s="16">
        <f t="shared" si="264"/>
        <v>0</v>
      </c>
      <c r="J155" s="10"/>
      <c r="K155" s="17"/>
      <c r="L155" s="12"/>
      <c r="M155" s="17"/>
      <c r="N155" s="17">
        <f t="shared" si="253"/>
        <v>0</v>
      </c>
      <c r="O155" s="18"/>
      <c r="P155" s="17">
        <f t="shared" si="254"/>
        <v>0</v>
      </c>
      <c r="Q155" s="19"/>
      <c r="R155" s="17">
        <f t="shared" si="255"/>
        <v>0</v>
      </c>
      <c r="S155" s="17">
        <f t="shared" si="256"/>
        <v>0</v>
      </c>
      <c r="T155" s="18" t="str">
        <f t="shared" si="257"/>
        <v>-</v>
      </c>
      <c r="U155" s="10"/>
      <c r="V155" s="20"/>
      <c r="W155" s="16"/>
      <c r="X155" s="13" t="s">
        <v>29</v>
      </c>
      <c r="Y155" s="17" t="str">
        <f t="shared" si="258"/>
        <v>-</v>
      </c>
      <c r="Z155" s="17" t="str">
        <f t="shared" si="259"/>
        <v>-</v>
      </c>
      <c r="AA155" s="16"/>
      <c r="AB155" s="18" t="str">
        <f t="shared" si="260"/>
        <v>-</v>
      </c>
      <c r="AC155" s="10"/>
      <c r="AD155" s="19"/>
      <c r="AE155" s="13">
        <f t="shared" si="261"/>
        <v>0</v>
      </c>
      <c r="AF155" s="17" t="str">
        <f t="shared" si="262"/>
        <v>-</v>
      </c>
      <c r="AG155" s="10"/>
      <c r="AH155" s="19"/>
      <c r="AI155" s="13">
        <f>IF(G155="CPI",#REF!*AH155,IFERROR(ROUNDDOWN(AE155*AH155,0),"-"))</f>
        <v>0</v>
      </c>
      <c r="AJ155" s="17" t="str">
        <f t="shared" si="263"/>
        <v>-</v>
      </c>
    </row>
    <row r="156" spans="1:36" ht="17.25" customHeight="1" x14ac:dyDescent="0.3">
      <c r="A156" s="22"/>
      <c r="B156" s="6" t="s">
        <v>28</v>
      </c>
      <c r="C156" s="9" t="s">
        <v>29</v>
      </c>
      <c r="D156" s="9" t="s">
        <v>29</v>
      </c>
      <c r="E156" s="22"/>
      <c r="F156" s="9" t="s">
        <v>29</v>
      </c>
      <c r="G156" s="6" t="s">
        <v>29</v>
      </c>
      <c r="H156" s="5" t="str">
        <f>IFERROR(N156/I156,"-")</f>
        <v>-</v>
      </c>
      <c r="I156" s="25">
        <f>IFERROR(SUM(I146:I155),"-")</f>
        <v>0</v>
      </c>
      <c r="J156" s="22"/>
      <c r="K156" s="23"/>
      <c r="L156" s="6"/>
      <c r="M156" s="23"/>
      <c r="N156" s="23">
        <f>IFERROR(SUM(N146:N155),"-")</f>
        <v>0</v>
      </c>
      <c r="O156" s="6" t="s">
        <v>29</v>
      </c>
      <c r="P156" s="23">
        <f>IFERROR(SUM(P146:P155),"-")</f>
        <v>0</v>
      </c>
      <c r="Q156" s="9" t="s">
        <v>29</v>
      </c>
      <c r="R156" s="23">
        <f>IFERROR(SUM(R146:R155),"-")</f>
        <v>0</v>
      </c>
      <c r="S156" s="23">
        <f t="shared" si="256"/>
        <v>0</v>
      </c>
      <c r="T156" s="24">
        <v>0</v>
      </c>
      <c r="U156" s="22"/>
      <c r="V156" s="25">
        <f>IFERROR(SUM(V146:V155),"-")</f>
        <v>0</v>
      </c>
      <c r="W156" s="25" t="s">
        <v>29</v>
      </c>
      <c r="X156" s="25" t="s">
        <v>29</v>
      </c>
      <c r="Y156" s="23" t="str">
        <f t="shared" si="258"/>
        <v>-</v>
      </c>
      <c r="Z156" s="23" t="str">
        <f t="shared" si="259"/>
        <v>-</v>
      </c>
      <c r="AA156" s="6" t="s">
        <v>29</v>
      </c>
      <c r="AB156" s="6" t="s">
        <v>29</v>
      </c>
      <c r="AC156" s="22"/>
      <c r="AD156" s="24" t="str">
        <f>IFERROR(AE156/V156,"-")</f>
        <v>-</v>
      </c>
      <c r="AE156" s="25">
        <f>IFERROR(SUM(AE146:AE155),"-")</f>
        <v>0</v>
      </c>
      <c r="AF156" s="23" t="str">
        <f t="shared" si="262"/>
        <v>-</v>
      </c>
      <c r="AG156" s="22"/>
      <c r="AH156" s="24" t="str">
        <f>IFERROR(AI156/AE156,"-")</f>
        <v>-</v>
      </c>
      <c r="AI156" s="25">
        <f>IFERROR(SUM(AI146:AI155),"-")</f>
        <v>0</v>
      </c>
      <c r="AJ156" s="23" t="str">
        <f t="shared" si="263"/>
        <v>-</v>
      </c>
    </row>
    <row r="157" spans="1:36" ht="15.75" customHeight="1" x14ac:dyDescent="0.3">
      <c r="A157" s="33"/>
      <c r="B157" s="34"/>
      <c r="C157" s="34"/>
      <c r="D157" s="34"/>
      <c r="E157" s="33"/>
      <c r="F157" s="34"/>
      <c r="G157" s="34"/>
      <c r="H157" s="34"/>
      <c r="I157" s="34"/>
      <c r="J157" s="33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3"/>
      <c r="V157" s="34"/>
      <c r="W157" s="34"/>
      <c r="X157" s="34"/>
      <c r="Y157" s="34"/>
      <c r="Z157" s="34"/>
      <c r="AA157" s="34"/>
      <c r="AB157" s="34"/>
      <c r="AC157" s="33"/>
      <c r="AD157" s="34"/>
      <c r="AE157" s="34"/>
      <c r="AF157" s="34"/>
      <c r="AG157" s="33"/>
      <c r="AH157" s="34"/>
      <c r="AI157" s="34"/>
      <c r="AJ157" s="34"/>
    </row>
    <row r="158" spans="1:36" ht="15.75" customHeight="1" x14ac:dyDescent="0.3">
      <c r="A158" s="33"/>
      <c r="B158" s="34"/>
      <c r="C158" s="34"/>
      <c r="D158" s="34"/>
      <c r="E158" s="33"/>
      <c r="F158" s="34"/>
      <c r="G158" s="34"/>
      <c r="H158" s="34"/>
      <c r="I158" s="34"/>
      <c r="J158" s="33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3"/>
      <c r="V158" s="34"/>
      <c r="W158" s="34"/>
      <c r="X158" s="34"/>
      <c r="Y158" s="34"/>
      <c r="Z158" s="34"/>
      <c r="AA158" s="34"/>
      <c r="AB158" s="34"/>
      <c r="AC158" s="33"/>
      <c r="AD158" s="34"/>
      <c r="AE158" s="34"/>
      <c r="AF158" s="34"/>
      <c r="AG158" s="33"/>
      <c r="AH158" s="34"/>
      <c r="AI158" s="34"/>
      <c r="AJ158" s="34"/>
    </row>
    <row r="159" spans="1:36" ht="15.75" customHeight="1" x14ac:dyDescent="0.3">
      <c r="A159" s="33"/>
      <c r="B159" s="34"/>
      <c r="C159" s="34"/>
      <c r="D159" s="34"/>
      <c r="E159" s="33"/>
      <c r="F159" s="34"/>
      <c r="G159" s="34"/>
      <c r="H159" s="34"/>
      <c r="I159" s="34"/>
      <c r="J159" s="33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3"/>
      <c r="V159" s="34"/>
      <c r="W159" s="34"/>
      <c r="X159" s="34"/>
      <c r="Y159" s="34"/>
      <c r="Z159" s="34"/>
      <c r="AA159" s="34"/>
      <c r="AB159" s="34"/>
      <c r="AC159" s="33"/>
      <c r="AD159" s="34"/>
      <c r="AE159" s="34"/>
      <c r="AF159" s="34"/>
      <c r="AG159" s="33"/>
      <c r="AH159" s="34"/>
      <c r="AI159" s="34"/>
      <c r="AJ159" s="34"/>
    </row>
    <row r="160" spans="1:36" ht="15.75" customHeight="1" x14ac:dyDescent="0.3">
      <c r="A160" s="33"/>
      <c r="B160" s="34"/>
      <c r="C160" s="34"/>
      <c r="D160" s="34"/>
      <c r="E160" s="33"/>
      <c r="F160" s="34"/>
      <c r="G160" s="34"/>
      <c r="H160" s="34"/>
      <c r="I160" s="34"/>
      <c r="J160" s="33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3"/>
      <c r="V160" s="34"/>
      <c r="W160" s="34"/>
      <c r="X160" s="34"/>
      <c r="Y160" s="34"/>
      <c r="Z160" s="34"/>
      <c r="AA160" s="34"/>
      <c r="AB160" s="34"/>
      <c r="AC160" s="33"/>
      <c r="AD160" s="34"/>
      <c r="AE160" s="34"/>
      <c r="AF160" s="34"/>
      <c r="AG160" s="33"/>
      <c r="AH160" s="34"/>
      <c r="AI160" s="34"/>
      <c r="AJ160" s="34"/>
    </row>
    <row r="161" spans="1:36" ht="15.75" customHeight="1" x14ac:dyDescent="0.3">
      <c r="A161" s="33"/>
      <c r="B161" s="34"/>
      <c r="C161" s="34"/>
      <c r="D161" s="34"/>
      <c r="E161" s="33"/>
      <c r="F161" s="34"/>
      <c r="G161" s="34"/>
      <c r="H161" s="34"/>
      <c r="I161" s="34"/>
      <c r="J161" s="33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3"/>
      <c r="V161" s="34"/>
      <c r="W161" s="34"/>
      <c r="X161" s="34"/>
      <c r="Y161" s="34"/>
      <c r="Z161" s="34"/>
      <c r="AA161" s="34"/>
      <c r="AB161" s="34"/>
      <c r="AC161" s="33"/>
      <c r="AD161" s="34"/>
      <c r="AE161" s="34"/>
      <c r="AF161" s="34"/>
      <c r="AG161" s="33"/>
      <c r="AH161" s="34"/>
      <c r="AI161" s="34"/>
      <c r="AJ161" s="34"/>
    </row>
    <row r="162" spans="1:36" ht="15.75" customHeight="1" x14ac:dyDescent="0.3">
      <c r="A162" s="33"/>
      <c r="B162" s="34"/>
      <c r="C162" s="34"/>
      <c r="D162" s="34"/>
      <c r="E162" s="33"/>
      <c r="F162" s="34"/>
      <c r="G162" s="34"/>
      <c r="H162" s="34"/>
      <c r="I162" s="34"/>
      <c r="J162" s="33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3"/>
      <c r="V162" s="34"/>
      <c r="W162" s="34"/>
      <c r="X162" s="34"/>
      <c r="Y162" s="34"/>
      <c r="Z162" s="34"/>
      <c r="AA162" s="34"/>
      <c r="AB162" s="34"/>
      <c r="AC162" s="33"/>
      <c r="AD162" s="34"/>
      <c r="AE162" s="34"/>
      <c r="AF162" s="34"/>
      <c r="AG162" s="33"/>
      <c r="AH162" s="34"/>
      <c r="AI162" s="34"/>
      <c r="AJ162" s="34"/>
    </row>
    <row r="163" spans="1:36" ht="15.75" customHeight="1" x14ac:dyDescent="0.3">
      <c r="A163" s="33"/>
      <c r="B163" s="34"/>
      <c r="C163" s="34"/>
      <c r="D163" s="34"/>
      <c r="E163" s="33"/>
      <c r="F163" s="34"/>
      <c r="G163" s="34"/>
      <c r="H163" s="34"/>
      <c r="I163" s="34"/>
      <c r="J163" s="33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3"/>
      <c r="V163" s="34"/>
      <c r="W163" s="34"/>
      <c r="X163" s="34"/>
      <c r="Y163" s="34"/>
      <c r="Z163" s="34"/>
      <c r="AA163" s="34"/>
      <c r="AB163" s="34"/>
      <c r="AC163" s="33"/>
      <c r="AD163" s="34"/>
      <c r="AE163" s="34"/>
      <c r="AF163" s="34"/>
      <c r="AG163" s="33"/>
      <c r="AH163" s="34"/>
      <c r="AI163" s="34"/>
      <c r="AJ163" s="34"/>
    </row>
    <row r="164" spans="1:36" ht="15.75" customHeight="1" x14ac:dyDescent="0.3">
      <c r="A164" s="33"/>
      <c r="B164" s="34"/>
      <c r="C164" s="34"/>
      <c r="D164" s="34"/>
      <c r="E164" s="33"/>
      <c r="F164" s="34"/>
      <c r="G164" s="34"/>
      <c r="H164" s="34"/>
      <c r="I164" s="34"/>
      <c r="J164" s="33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3"/>
      <c r="V164" s="34"/>
      <c r="W164" s="34"/>
      <c r="X164" s="34"/>
      <c r="Y164" s="34"/>
      <c r="Z164" s="34"/>
      <c r="AA164" s="34"/>
      <c r="AB164" s="34"/>
      <c r="AC164" s="33"/>
      <c r="AD164" s="34"/>
      <c r="AE164" s="34"/>
      <c r="AF164" s="34"/>
      <c r="AG164" s="33"/>
      <c r="AH164" s="34"/>
      <c r="AI164" s="34"/>
      <c r="AJ164" s="34"/>
    </row>
    <row r="165" spans="1:36" ht="15.75" customHeight="1" x14ac:dyDescent="0.3">
      <c r="A165" s="33"/>
      <c r="B165" s="34"/>
      <c r="C165" s="34"/>
      <c r="D165" s="34"/>
      <c r="E165" s="33"/>
      <c r="F165" s="34"/>
      <c r="G165" s="34"/>
      <c r="H165" s="34"/>
      <c r="I165" s="34"/>
      <c r="J165" s="33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3"/>
      <c r="V165" s="34"/>
      <c r="W165" s="34"/>
      <c r="X165" s="34"/>
      <c r="Y165" s="34"/>
      <c r="Z165" s="34"/>
      <c r="AA165" s="34"/>
      <c r="AB165" s="34"/>
      <c r="AC165" s="33"/>
      <c r="AD165" s="34"/>
      <c r="AE165" s="34"/>
      <c r="AF165" s="34"/>
      <c r="AG165" s="33"/>
      <c r="AH165" s="34"/>
      <c r="AI165" s="34"/>
      <c r="AJ165" s="34"/>
    </row>
    <row r="166" spans="1:36" ht="15.75" customHeight="1" x14ac:dyDescent="0.3">
      <c r="A166" s="33"/>
      <c r="B166" s="34"/>
      <c r="C166" s="34"/>
      <c r="D166" s="34"/>
      <c r="E166" s="33"/>
      <c r="F166" s="34"/>
      <c r="G166" s="34"/>
      <c r="H166" s="34"/>
      <c r="I166" s="34"/>
      <c r="J166" s="33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3"/>
      <c r="V166" s="34"/>
      <c r="W166" s="34"/>
      <c r="X166" s="34"/>
      <c r="Y166" s="34"/>
      <c r="Z166" s="34"/>
      <c r="AA166" s="34"/>
      <c r="AB166" s="34"/>
      <c r="AC166" s="33"/>
      <c r="AD166" s="34"/>
      <c r="AE166" s="34"/>
      <c r="AF166" s="34"/>
      <c r="AG166" s="33"/>
      <c r="AH166" s="34"/>
      <c r="AI166" s="34"/>
      <c r="AJ166" s="34"/>
    </row>
    <row r="167" spans="1:36" ht="15.75" customHeight="1" x14ac:dyDescent="0.3">
      <c r="A167" s="33"/>
      <c r="B167" s="34"/>
      <c r="C167" s="34"/>
      <c r="D167" s="34"/>
      <c r="E167" s="33"/>
      <c r="F167" s="34"/>
      <c r="G167" s="34"/>
      <c r="H167" s="34"/>
      <c r="I167" s="34"/>
      <c r="J167" s="33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3"/>
      <c r="V167" s="34"/>
      <c r="W167" s="34"/>
      <c r="X167" s="34"/>
      <c r="Y167" s="34"/>
      <c r="Z167" s="34"/>
      <c r="AA167" s="34"/>
      <c r="AB167" s="34"/>
      <c r="AC167" s="33"/>
      <c r="AD167" s="34"/>
      <c r="AE167" s="34"/>
      <c r="AF167" s="34"/>
      <c r="AG167" s="33"/>
      <c r="AH167" s="34"/>
      <c r="AI167" s="34"/>
      <c r="AJ167" s="34"/>
    </row>
    <row r="168" spans="1:36" ht="15.75" customHeight="1" x14ac:dyDescent="0.3">
      <c r="A168" s="33"/>
      <c r="B168" s="34"/>
      <c r="C168" s="34"/>
      <c r="D168" s="34"/>
      <c r="E168" s="33"/>
      <c r="F168" s="34"/>
      <c r="G168" s="34"/>
      <c r="H168" s="34"/>
      <c r="I168" s="34"/>
      <c r="J168" s="33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3"/>
      <c r="V168" s="34"/>
      <c r="W168" s="34"/>
      <c r="X168" s="34"/>
      <c r="Y168" s="34"/>
      <c r="Z168" s="34"/>
      <c r="AA168" s="34"/>
      <c r="AB168" s="34"/>
      <c r="AC168" s="33"/>
      <c r="AD168" s="34"/>
      <c r="AE168" s="34"/>
      <c r="AF168" s="34"/>
      <c r="AG168" s="33"/>
      <c r="AH168" s="34"/>
      <c r="AI168" s="34"/>
      <c r="AJ168" s="34"/>
    </row>
    <row r="169" spans="1:36" ht="15.75" customHeight="1" x14ac:dyDescent="0.3">
      <c r="A169" s="33"/>
      <c r="B169" s="34"/>
      <c r="C169" s="34"/>
      <c r="D169" s="34"/>
      <c r="E169" s="33"/>
      <c r="F169" s="34"/>
      <c r="G169" s="34"/>
      <c r="H169" s="34"/>
      <c r="I169" s="34"/>
      <c r="J169" s="33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3"/>
      <c r="V169" s="34"/>
      <c r="W169" s="34"/>
      <c r="X169" s="34"/>
      <c r="Y169" s="34"/>
      <c r="Z169" s="34"/>
      <c r="AA169" s="34"/>
      <c r="AB169" s="34"/>
      <c r="AC169" s="33"/>
      <c r="AD169" s="34"/>
      <c r="AE169" s="34"/>
      <c r="AF169" s="34"/>
      <c r="AG169" s="33"/>
      <c r="AH169" s="34"/>
      <c r="AI169" s="34"/>
      <c r="AJ169" s="34"/>
    </row>
    <row r="170" spans="1:36" ht="15.75" customHeight="1" x14ac:dyDescent="0.3">
      <c r="A170" s="33"/>
      <c r="B170" s="34"/>
      <c r="C170" s="34"/>
      <c r="D170" s="34"/>
      <c r="E170" s="33"/>
      <c r="F170" s="34"/>
      <c r="G170" s="34"/>
      <c r="H170" s="34"/>
      <c r="I170" s="34"/>
      <c r="J170" s="33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3"/>
      <c r="V170" s="34"/>
      <c r="W170" s="34"/>
      <c r="X170" s="34"/>
      <c r="Y170" s="34"/>
      <c r="Z170" s="34"/>
      <c r="AA170" s="34"/>
      <c r="AB170" s="34"/>
      <c r="AC170" s="33"/>
      <c r="AD170" s="34"/>
      <c r="AE170" s="34"/>
      <c r="AF170" s="34"/>
      <c r="AG170" s="33"/>
      <c r="AH170" s="34"/>
      <c r="AI170" s="34"/>
      <c r="AJ170" s="34"/>
    </row>
    <row r="171" spans="1:36" ht="15.75" customHeight="1" x14ac:dyDescent="0.3">
      <c r="A171" s="33"/>
      <c r="B171" s="34"/>
      <c r="C171" s="34"/>
      <c r="D171" s="34"/>
      <c r="E171" s="33"/>
      <c r="F171" s="34"/>
      <c r="G171" s="34"/>
      <c r="H171" s="34"/>
      <c r="I171" s="34"/>
      <c r="J171" s="33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3"/>
      <c r="V171" s="34"/>
      <c r="W171" s="34"/>
      <c r="X171" s="34"/>
      <c r="Y171" s="34"/>
      <c r="Z171" s="34"/>
      <c r="AA171" s="34"/>
      <c r="AB171" s="34"/>
      <c r="AC171" s="33"/>
      <c r="AD171" s="34"/>
      <c r="AE171" s="34"/>
      <c r="AF171" s="34"/>
      <c r="AG171" s="33"/>
      <c r="AH171" s="34"/>
      <c r="AI171" s="34"/>
      <c r="AJ171" s="34"/>
    </row>
    <row r="172" spans="1:36" ht="15.75" customHeight="1" x14ac:dyDescent="0.3">
      <c r="A172" s="33"/>
      <c r="B172" s="34"/>
      <c r="C172" s="34"/>
      <c r="D172" s="34"/>
      <c r="E172" s="33"/>
      <c r="F172" s="34"/>
      <c r="G172" s="34"/>
      <c r="H172" s="34"/>
      <c r="I172" s="34"/>
      <c r="J172" s="33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3"/>
      <c r="V172" s="34"/>
      <c r="W172" s="34"/>
      <c r="X172" s="34"/>
      <c r="Y172" s="34"/>
      <c r="Z172" s="34"/>
      <c r="AA172" s="34"/>
      <c r="AB172" s="34"/>
      <c r="AC172" s="33"/>
      <c r="AD172" s="34"/>
      <c r="AE172" s="34"/>
      <c r="AF172" s="34"/>
      <c r="AG172" s="33"/>
      <c r="AH172" s="34"/>
      <c r="AI172" s="34"/>
      <c r="AJ172" s="34"/>
    </row>
    <row r="173" spans="1:36" ht="15.75" customHeight="1" x14ac:dyDescent="0.3">
      <c r="A173" s="33"/>
      <c r="B173" s="34"/>
      <c r="C173" s="34"/>
      <c r="D173" s="34"/>
      <c r="E173" s="33"/>
      <c r="F173" s="34"/>
      <c r="G173" s="34"/>
      <c r="H173" s="34"/>
      <c r="I173" s="34"/>
      <c r="J173" s="33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3"/>
      <c r="V173" s="34"/>
      <c r="W173" s="34"/>
      <c r="X173" s="34"/>
      <c r="Y173" s="34"/>
      <c r="Z173" s="34"/>
      <c r="AA173" s="34"/>
      <c r="AB173" s="34"/>
      <c r="AC173" s="33"/>
      <c r="AD173" s="34"/>
      <c r="AE173" s="34"/>
      <c r="AF173" s="34"/>
      <c r="AG173" s="33"/>
      <c r="AH173" s="34"/>
      <c r="AI173" s="34"/>
      <c r="AJ173" s="34"/>
    </row>
    <row r="174" spans="1:36" ht="15.75" customHeight="1" x14ac:dyDescent="0.3">
      <c r="A174" s="33"/>
      <c r="B174" s="34"/>
      <c r="C174" s="34"/>
      <c r="D174" s="34"/>
      <c r="E174" s="33"/>
      <c r="F174" s="34"/>
      <c r="G174" s="34"/>
      <c r="H174" s="34"/>
      <c r="I174" s="34"/>
      <c r="J174" s="33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3"/>
      <c r="V174" s="34"/>
      <c r="W174" s="34"/>
      <c r="X174" s="34"/>
      <c r="Y174" s="34"/>
      <c r="Z174" s="34"/>
      <c r="AA174" s="34"/>
      <c r="AB174" s="34"/>
      <c r="AC174" s="33"/>
      <c r="AD174" s="34"/>
      <c r="AE174" s="34"/>
      <c r="AF174" s="34"/>
      <c r="AG174" s="33"/>
      <c r="AH174" s="34"/>
      <c r="AI174" s="34"/>
      <c r="AJ174" s="34"/>
    </row>
    <row r="175" spans="1:36" ht="15.75" customHeight="1" x14ac:dyDescent="0.3">
      <c r="A175" s="33"/>
      <c r="B175" s="34"/>
      <c r="C175" s="34"/>
      <c r="D175" s="34"/>
      <c r="E175" s="33"/>
      <c r="F175" s="34"/>
      <c r="G175" s="34"/>
      <c r="H175" s="34"/>
      <c r="I175" s="34"/>
      <c r="J175" s="33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3"/>
      <c r="V175" s="34"/>
      <c r="W175" s="34"/>
      <c r="X175" s="34"/>
      <c r="Y175" s="34"/>
      <c r="Z175" s="34"/>
      <c r="AA175" s="34"/>
      <c r="AB175" s="34"/>
      <c r="AC175" s="33"/>
      <c r="AD175" s="34"/>
      <c r="AE175" s="34"/>
      <c r="AF175" s="34"/>
      <c r="AG175" s="33"/>
      <c r="AH175" s="34"/>
      <c r="AI175" s="34"/>
      <c r="AJ175" s="34"/>
    </row>
    <row r="176" spans="1:36" ht="15.75" customHeight="1" x14ac:dyDescent="0.3">
      <c r="A176" s="33"/>
      <c r="B176" s="34"/>
      <c r="C176" s="34"/>
      <c r="D176" s="34"/>
      <c r="E176" s="33"/>
      <c r="F176" s="34"/>
      <c r="G176" s="34"/>
      <c r="H176" s="34"/>
      <c r="I176" s="34"/>
      <c r="J176" s="33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3"/>
      <c r="V176" s="34"/>
      <c r="W176" s="34"/>
      <c r="X176" s="34"/>
      <c r="Y176" s="34"/>
      <c r="Z176" s="34"/>
      <c r="AA176" s="34"/>
      <c r="AB176" s="34"/>
      <c r="AC176" s="33"/>
      <c r="AD176" s="34"/>
      <c r="AE176" s="34"/>
      <c r="AF176" s="34"/>
      <c r="AG176" s="33"/>
      <c r="AH176" s="34"/>
      <c r="AI176" s="34"/>
      <c r="AJ176" s="34"/>
    </row>
    <row r="177" spans="1:36" ht="15.75" customHeight="1" x14ac:dyDescent="0.3">
      <c r="A177" s="33"/>
      <c r="B177" s="34"/>
      <c r="C177" s="34"/>
      <c r="D177" s="34"/>
      <c r="E177" s="33"/>
      <c r="F177" s="34"/>
      <c r="G177" s="34"/>
      <c r="H177" s="34"/>
      <c r="I177" s="34"/>
      <c r="J177" s="33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3"/>
      <c r="V177" s="34"/>
      <c r="W177" s="34"/>
      <c r="X177" s="34"/>
      <c r="Y177" s="34"/>
      <c r="Z177" s="34"/>
      <c r="AA177" s="34"/>
      <c r="AB177" s="34"/>
      <c r="AC177" s="33"/>
      <c r="AD177" s="34"/>
      <c r="AE177" s="34"/>
      <c r="AF177" s="34"/>
      <c r="AG177" s="33"/>
      <c r="AH177" s="34"/>
      <c r="AI177" s="34"/>
      <c r="AJ177" s="34"/>
    </row>
    <row r="178" spans="1:36" ht="15.75" customHeight="1" x14ac:dyDescent="0.3">
      <c r="A178" s="33"/>
      <c r="B178" s="34"/>
      <c r="C178" s="34"/>
      <c r="D178" s="34"/>
      <c r="E178" s="33"/>
      <c r="F178" s="34"/>
      <c r="G178" s="34"/>
      <c r="H178" s="34"/>
      <c r="I178" s="34"/>
      <c r="J178" s="33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3"/>
      <c r="V178" s="34"/>
      <c r="W178" s="34"/>
      <c r="X178" s="34"/>
      <c r="Y178" s="34"/>
      <c r="Z178" s="34"/>
      <c r="AA178" s="34"/>
      <c r="AB178" s="34"/>
      <c r="AC178" s="33"/>
      <c r="AD178" s="34"/>
      <c r="AE178" s="34"/>
      <c r="AF178" s="34"/>
      <c r="AG178" s="33"/>
      <c r="AH178" s="34"/>
      <c r="AI178" s="34"/>
      <c r="AJ178" s="34"/>
    </row>
    <row r="179" spans="1:36" ht="15.75" customHeight="1" x14ac:dyDescent="0.3">
      <c r="A179" s="33"/>
      <c r="B179" s="34"/>
      <c r="C179" s="34"/>
      <c r="D179" s="34"/>
      <c r="E179" s="33"/>
      <c r="F179" s="34"/>
      <c r="G179" s="34"/>
      <c r="H179" s="34"/>
      <c r="I179" s="34"/>
      <c r="J179" s="33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3"/>
      <c r="V179" s="34"/>
      <c r="W179" s="34"/>
      <c r="X179" s="34"/>
      <c r="Y179" s="34"/>
      <c r="Z179" s="34"/>
      <c r="AA179" s="34"/>
      <c r="AB179" s="34"/>
      <c r="AC179" s="33"/>
      <c r="AD179" s="34"/>
      <c r="AE179" s="34"/>
      <c r="AF179" s="34"/>
      <c r="AG179" s="33"/>
      <c r="AH179" s="34"/>
      <c r="AI179" s="34"/>
      <c r="AJ179" s="34"/>
    </row>
    <row r="180" spans="1:36" ht="15.75" customHeight="1" x14ac:dyDescent="0.3">
      <c r="A180" s="33"/>
      <c r="B180" s="34"/>
      <c r="C180" s="34"/>
      <c r="D180" s="34"/>
      <c r="E180" s="33"/>
      <c r="F180" s="34"/>
      <c r="G180" s="34"/>
      <c r="H180" s="34"/>
      <c r="I180" s="34"/>
      <c r="J180" s="33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3"/>
      <c r="V180" s="34"/>
      <c r="W180" s="34"/>
      <c r="X180" s="34"/>
      <c r="Y180" s="34"/>
      <c r="Z180" s="34"/>
      <c r="AA180" s="34"/>
      <c r="AB180" s="34"/>
      <c r="AC180" s="33"/>
      <c r="AD180" s="34"/>
      <c r="AE180" s="34"/>
      <c r="AF180" s="34"/>
      <c r="AG180" s="33"/>
      <c r="AH180" s="34"/>
      <c r="AI180" s="34"/>
      <c r="AJ180" s="34"/>
    </row>
    <row r="181" spans="1:36" ht="15.75" customHeight="1" x14ac:dyDescent="0.3">
      <c r="A181" s="33"/>
      <c r="B181" s="34"/>
      <c r="C181" s="34"/>
      <c r="D181" s="34"/>
      <c r="E181" s="33"/>
      <c r="F181" s="34"/>
      <c r="G181" s="34"/>
      <c r="H181" s="34"/>
      <c r="I181" s="34"/>
      <c r="J181" s="33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3"/>
      <c r="V181" s="34"/>
      <c r="W181" s="34"/>
      <c r="X181" s="34"/>
      <c r="Y181" s="34"/>
      <c r="Z181" s="34"/>
      <c r="AA181" s="34"/>
      <c r="AB181" s="34"/>
      <c r="AC181" s="33"/>
      <c r="AD181" s="34"/>
      <c r="AE181" s="34"/>
      <c r="AF181" s="34"/>
      <c r="AG181" s="33"/>
      <c r="AH181" s="34"/>
      <c r="AI181" s="34"/>
      <c r="AJ181" s="34"/>
    </row>
    <row r="182" spans="1:36" ht="15.75" customHeight="1" x14ac:dyDescent="0.3">
      <c r="A182" s="33"/>
      <c r="B182" s="34"/>
      <c r="C182" s="34"/>
      <c r="D182" s="34"/>
      <c r="E182" s="33"/>
      <c r="F182" s="34"/>
      <c r="G182" s="34"/>
      <c r="H182" s="34"/>
      <c r="I182" s="34"/>
      <c r="J182" s="33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3"/>
      <c r="V182" s="34"/>
      <c r="W182" s="34"/>
      <c r="X182" s="34"/>
      <c r="Y182" s="34"/>
      <c r="Z182" s="34"/>
      <c r="AA182" s="34"/>
      <c r="AB182" s="34"/>
      <c r="AC182" s="33"/>
      <c r="AD182" s="34"/>
      <c r="AE182" s="34"/>
      <c r="AF182" s="34"/>
      <c r="AG182" s="33"/>
      <c r="AH182" s="34"/>
      <c r="AI182" s="34"/>
      <c r="AJ182" s="34"/>
    </row>
    <row r="183" spans="1:36" ht="15.75" customHeight="1" x14ac:dyDescent="0.3">
      <c r="A183" s="33"/>
      <c r="B183" s="34"/>
      <c r="C183" s="34"/>
      <c r="D183" s="34"/>
      <c r="E183" s="33"/>
      <c r="F183" s="34"/>
      <c r="G183" s="34"/>
      <c r="H183" s="34"/>
      <c r="I183" s="34"/>
      <c r="J183" s="33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3"/>
      <c r="V183" s="34"/>
      <c r="W183" s="34"/>
      <c r="X183" s="34"/>
      <c r="Y183" s="34"/>
      <c r="Z183" s="34"/>
      <c r="AA183" s="34"/>
      <c r="AB183" s="34"/>
      <c r="AC183" s="33"/>
      <c r="AD183" s="34"/>
      <c r="AE183" s="34"/>
      <c r="AF183" s="34"/>
      <c r="AG183" s="33"/>
      <c r="AH183" s="34"/>
      <c r="AI183" s="34"/>
      <c r="AJ183" s="34"/>
    </row>
    <row r="184" spans="1:36" ht="15.75" customHeight="1" x14ac:dyDescent="0.3">
      <c r="A184" s="33"/>
      <c r="B184" s="34"/>
      <c r="C184" s="34"/>
      <c r="D184" s="34"/>
      <c r="E184" s="33"/>
      <c r="F184" s="34"/>
      <c r="G184" s="34"/>
      <c r="H184" s="34"/>
      <c r="I184" s="34"/>
      <c r="J184" s="33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3"/>
      <c r="V184" s="34"/>
      <c r="W184" s="34"/>
      <c r="X184" s="34"/>
      <c r="Y184" s="34"/>
      <c r="Z184" s="34"/>
      <c r="AA184" s="34"/>
      <c r="AB184" s="34"/>
      <c r="AC184" s="33"/>
      <c r="AD184" s="34"/>
      <c r="AE184" s="34"/>
      <c r="AF184" s="34"/>
      <c r="AG184" s="33"/>
      <c r="AH184" s="34"/>
      <c r="AI184" s="34"/>
      <c r="AJ184" s="34"/>
    </row>
    <row r="185" spans="1:36" ht="15.75" customHeight="1" x14ac:dyDescent="0.3">
      <c r="A185" s="33"/>
      <c r="B185" s="34"/>
      <c r="C185" s="34"/>
      <c r="D185" s="34"/>
      <c r="E185" s="33"/>
      <c r="F185" s="34"/>
      <c r="G185" s="34"/>
      <c r="H185" s="34"/>
      <c r="I185" s="34"/>
      <c r="J185" s="33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3"/>
      <c r="V185" s="34"/>
      <c r="W185" s="34"/>
      <c r="X185" s="34"/>
      <c r="Y185" s="34"/>
      <c r="Z185" s="34"/>
      <c r="AA185" s="34"/>
      <c r="AB185" s="34"/>
      <c r="AC185" s="33"/>
      <c r="AD185" s="34"/>
      <c r="AE185" s="34"/>
      <c r="AF185" s="34"/>
      <c r="AG185" s="33"/>
      <c r="AH185" s="34"/>
      <c r="AI185" s="34"/>
      <c r="AJ185" s="34"/>
    </row>
    <row r="186" spans="1:36" ht="15.75" customHeight="1" x14ac:dyDescent="0.3">
      <c r="A186" s="33"/>
      <c r="B186" s="34"/>
      <c r="C186" s="34"/>
      <c r="D186" s="34"/>
      <c r="E186" s="33"/>
      <c r="F186" s="34"/>
      <c r="G186" s="34"/>
      <c r="H186" s="34"/>
      <c r="I186" s="34"/>
      <c r="J186" s="33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3"/>
      <c r="V186" s="34"/>
      <c r="W186" s="34"/>
      <c r="X186" s="34"/>
      <c r="Y186" s="34"/>
      <c r="Z186" s="34"/>
      <c r="AA186" s="34"/>
      <c r="AB186" s="34"/>
      <c r="AC186" s="33"/>
      <c r="AD186" s="34"/>
      <c r="AE186" s="34"/>
      <c r="AF186" s="34"/>
      <c r="AG186" s="33"/>
      <c r="AH186" s="34"/>
      <c r="AI186" s="34"/>
      <c r="AJ186" s="34"/>
    </row>
    <row r="187" spans="1:36" ht="15.75" customHeight="1" x14ac:dyDescent="0.3">
      <c r="A187" s="33"/>
      <c r="B187" s="34"/>
      <c r="C187" s="34"/>
      <c r="D187" s="34"/>
      <c r="E187" s="33"/>
      <c r="F187" s="34"/>
      <c r="G187" s="34"/>
      <c r="H187" s="34"/>
      <c r="I187" s="34"/>
      <c r="J187" s="33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3"/>
      <c r="V187" s="34"/>
      <c r="W187" s="34"/>
      <c r="X187" s="34"/>
      <c r="Y187" s="34"/>
      <c r="Z187" s="34"/>
      <c r="AA187" s="34"/>
      <c r="AB187" s="34"/>
      <c r="AC187" s="33"/>
      <c r="AD187" s="34"/>
      <c r="AE187" s="34"/>
      <c r="AF187" s="34"/>
      <c r="AG187" s="33"/>
      <c r="AH187" s="34"/>
      <c r="AI187" s="34"/>
      <c r="AJ187" s="34"/>
    </row>
    <row r="188" spans="1:36" ht="15.75" customHeight="1" x14ac:dyDescent="0.3">
      <c r="A188" s="33"/>
      <c r="B188" s="34"/>
      <c r="C188" s="34"/>
      <c r="D188" s="34"/>
      <c r="E188" s="33"/>
      <c r="F188" s="34"/>
      <c r="G188" s="34"/>
      <c r="H188" s="34"/>
      <c r="I188" s="34"/>
      <c r="J188" s="33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3"/>
      <c r="V188" s="34"/>
      <c r="W188" s="34"/>
      <c r="X188" s="34"/>
      <c r="Y188" s="34"/>
      <c r="Z188" s="34"/>
      <c r="AA188" s="34"/>
      <c r="AB188" s="34"/>
      <c r="AC188" s="33"/>
      <c r="AD188" s="34"/>
      <c r="AE188" s="34"/>
      <c r="AF188" s="34"/>
      <c r="AG188" s="33"/>
      <c r="AH188" s="34"/>
      <c r="AI188" s="34"/>
      <c r="AJ188" s="34"/>
    </row>
    <row r="189" spans="1:36" ht="15.75" customHeight="1" x14ac:dyDescent="0.3">
      <c r="A189" s="33"/>
      <c r="B189" s="34"/>
      <c r="C189" s="34"/>
      <c r="D189" s="34"/>
      <c r="E189" s="33"/>
      <c r="F189" s="34"/>
      <c r="G189" s="34"/>
      <c r="H189" s="34"/>
      <c r="I189" s="34"/>
      <c r="J189" s="33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3"/>
      <c r="V189" s="34"/>
      <c r="W189" s="34"/>
      <c r="X189" s="34"/>
      <c r="Y189" s="34"/>
      <c r="Z189" s="34"/>
      <c r="AA189" s="34"/>
      <c r="AB189" s="34"/>
      <c r="AC189" s="33"/>
      <c r="AD189" s="34"/>
      <c r="AE189" s="34"/>
      <c r="AF189" s="34"/>
      <c r="AG189" s="33"/>
      <c r="AH189" s="34"/>
      <c r="AI189" s="34"/>
      <c r="AJ189" s="34"/>
    </row>
    <row r="190" spans="1:36" ht="15.75" customHeight="1" x14ac:dyDescent="0.3">
      <c r="A190" s="33"/>
      <c r="B190" s="34"/>
      <c r="C190" s="34"/>
      <c r="D190" s="34"/>
      <c r="E190" s="33"/>
      <c r="F190" s="34"/>
      <c r="G190" s="34"/>
      <c r="H190" s="34"/>
      <c r="I190" s="34"/>
      <c r="J190" s="33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3"/>
      <c r="V190" s="34"/>
      <c r="W190" s="34"/>
      <c r="X190" s="34"/>
      <c r="Y190" s="34"/>
      <c r="Z190" s="34"/>
      <c r="AA190" s="34"/>
      <c r="AB190" s="34"/>
      <c r="AC190" s="33"/>
      <c r="AD190" s="34"/>
      <c r="AE190" s="34"/>
      <c r="AF190" s="34"/>
      <c r="AG190" s="33"/>
      <c r="AH190" s="34"/>
      <c r="AI190" s="34"/>
      <c r="AJ190" s="34"/>
    </row>
    <row r="191" spans="1:36" ht="15.75" customHeight="1" x14ac:dyDescent="0.3">
      <c r="A191" s="33"/>
      <c r="B191" s="34"/>
      <c r="C191" s="34"/>
      <c r="D191" s="34"/>
      <c r="E191" s="33"/>
      <c r="F191" s="34"/>
      <c r="G191" s="34"/>
      <c r="H191" s="34"/>
      <c r="I191" s="34"/>
      <c r="J191" s="33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3"/>
      <c r="V191" s="34"/>
      <c r="W191" s="34"/>
      <c r="X191" s="34"/>
      <c r="Y191" s="34"/>
      <c r="Z191" s="34"/>
      <c r="AA191" s="34"/>
      <c r="AB191" s="34"/>
      <c r="AC191" s="33"/>
      <c r="AD191" s="34"/>
      <c r="AE191" s="34"/>
      <c r="AF191" s="34"/>
      <c r="AG191" s="33"/>
      <c r="AH191" s="34"/>
      <c r="AI191" s="34"/>
      <c r="AJ191" s="34"/>
    </row>
    <row r="192" spans="1:36" ht="15.75" customHeight="1" x14ac:dyDescent="0.3">
      <c r="A192" s="33"/>
      <c r="B192" s="34"/>
      <c r="C192" s="34"/>
      <c r="D192" s="34"/>
      <c r="E192" s="33"/>
      <c r="F192" s="34"/>
      <c r="G192" s="34"/>
      <c r="H192" s="34"/>
      <c r="I192" s="34"/>
      <c r="J192" s="33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3"/>
      <c r="V192" s="34"/>
      <c r="W192" s="34"/>
      <c r="X192" s="34"/>
      <c r="Y192" s="34"/>
      <c r="Z192" s="34"/>
      <c r="AA192" s="34"/>
      <c r="AB192" s="34"/>
      <c r="AC192" s="33"/>
      <c r="AD192" s="34"/>
      <c r="AE192" s="34"/>
      <c r="AF192" s="34"/>
      <c r="AG192" s="33"/>
      <c r="AH192" s="34"/>
      <c r="AI192" s="34"/>
      <c r="AJ192" s="34"/>
    </row>
    <row r="193" spans="1:36" ht="15.75" customHeight="1" x14ac:dyDescent="0.3">
      <c r="A193" s="33"/>
      <c r="B193" s="34"/>
      <c r="C193" s="34"/>
      <c r="D193" s="34"/>
      <c r="E193" s="33"/>
      <c r="F193" s="34"/>
      <c r="G193" s="34"/>
      <c r="H193" s="34"/>
      <c r="I193" s="34"/>
      <c r="J193" s="33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3"/>
      <c r="V193" s="34"/>
      <c r="W193" s="34"/>
      <c r="X193" s="34"/>
      <c r="Y193" s="34"/>
      <c r="Z193" s="34"/>
      <c r="AA193" s="34"/>
      <c r="AB193" s="34"/>
      <c r="AC193" s="33"/>
      <c r="AD193" s="34"/>
      <c r="AE193" s="34"/>
      <c r="AF193" s="34"/>
      <c r="AG193" s="33"/>
      <c r="AH193" s="34"/>
      <c r="AI193" s="34"/>
      <c r="AJ193" s="34"/>
    </row>
    <row r="194" spans="1:36" ht="15.75" customHeight="1" x14ac:dyDescent="0.3">
      <c r="A194" s="33"/>
      <c r="B194" s="34"/>
      <c r="C194" s="34"/>
      <c r="D194" s="34"/>
      <c r="E194" s="33"/>
      <c r="F194" s="34"/>
      <c r="G194" s="34"/>
      <c r="H194" s="34"/>
      <c r="I194" s="34"/>
      <c r="J194" s="33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3"/>
      <c r="V194" s="34"/>
      <c r="W194" s="34"/>
      <c r="X194" s="34"/>
      <c r="Y194" s="34"/>
      <c r="Z194" s="34"/>
      <c r="AA194" s="34"/>
      <c r="AB194" s="34"/>
      <c r="AC194" s="33"/>
      <c r="AD194" s="34"/>
      <c r="AE194" s="34"/>
      <c r="AF194" s="34"/>
      <c r="AG194" s="33"/>
      <c r="AH194" s="34"/>
      <c r="AI194" s="34"/>
      <c r="AJ194" s="34"/>
    </row>
    <row r="195" spans="1:36" ht="15.75" customHeight="1" x14ac:dyDescent="0.3">
      <c r="A195" s="33"/>
      <c r="B195" s="34"/>
      <c r="C195" s="34"/>
      <c r="D195" s="34"/>
      <c r="E195" s="33"/>
      <c r="F195" s="34"/>
      <c r="G195" s="34"/>
      <c r="H195" s="34"/>
      <c r="I195" s="34"/>
      <c r="J195" s="33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3"/>
      <c r="V195" s="34"/>
      <c r="W195" s="34"/>
      <c r="X195" s="34"/>
      <c r="Y195" s="34"/>
      <c r="Z195" s="34"/>
      <c r="AA195" s="34"/>
      <c r="AB195" s="34"/>
      <c r="AC195" s="33"/>
      <c r="AD195" s="34"/>
      <c r="AE195" s="34"/>
      <c r="AF195" s="34"/>
      <c r="AG195" s="33"/>
      <c r="AH195" s="34"/>
      <c r="AI195" s="34"/>
      <c r="AJ195" s="34"/>
    </row>
    <row r="196" spans="1:36" ht="15.75" customHeight="1" x14ac:dyDescent="0.3">
      <c r="A196" s="33"/>
      <c r="B196" s="34"/>
      <c r="C196" s="34"/>
      <c r="D196" s="34"/>
      <c r="E196" s="33"/>
      <c r="F196" s="34"/>
      <c r="G196" s="34"/>
      <c r="H196" s="34"/>
      <c r="I196" s="34"/>
      <c r="J196" s="33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3"/>
      <c r="V196" s="34"/>
      <c r="W196" s="34"/>
      <c r="X196" s="34"/>
      <c r="Y196" s="34"/>
      <c r="Z196" s="34"/>
      <c r="AA196" s="34"/>
      <c r="AB196" s="34"/>
      <c r="AC196" s="33"/>
      <c r="AD196" s="34"/>
      <c r="AE196" s="34"/>
      <c r="AF196" s="34"/>
      <c r="AG196" s="33"/>
      <c r="AH196" s="34"/>
      <c r="AI196" s="34"/>
      <c r="AJ196" s="34"/>
    </row>
    <row r="197" spans="1:36" ht="15.75" customHeight="1" x14ac:dyDescent="0.3">
      <c r="A197" s="33"/>
      <c r="B197" s="34"/>
      <c r="C197" s="34"/>
      <c r="D197" s="34"/>
      <c r="E197" s="33"/>
      <c r="F197" s="34"/>
      <c r="G197" s="34"/>
      <c r="H197" s="34"/>
      <c r="I197" s="34"/>
      <c r="J197" s="33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3"/>
      <c r="V197" s="34"/>
      <c r="W197" s="34"/>
      <c r="X197" s="34"/>
      <c r="Y197" s="34"/>
      <c r="Z197" s="34"/>
      <c r="AA197" s="34"/>
      <c r="AB197" s="34"/>
      <c r="AC197" s="33"/>
      <c r="AD197" s="34"/>
      <c r="AE197" s="34"/>
      <c r="AF197" s="34"/>
      <c r="AG197" s="33"/>
      <c r="AH197" s="34"/>
      <c r="AI197" s="34"/>
      <c r="AJ197" s="34"/>
    </row>
    <row r="198" spans="1:36" ht="15.75" customHeight="1" x14ac:dyDescent="0.3">
      <c r="A198" s="33"/>
      <c r="B198" s="34"/>
      <c r="C198" s="34"/>
      <c r="D198" s="34"/>
      <c r="E198" s="33"/>
      <c r="F198" s="34"/>
      <c r="G198" s="34"/>
      <c r="H198" s="34"/>
      <c r="I198" s="34"/>
      <c r="J198" s="33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3"/>
      <c r="V198" s="34"/>
      <c r="W198" s="34"/>
      <c r="X198" s="34"/>
      <c r="Y198" s="34"/>
      <c r="Z198" s="34"/>
      <c r="AA198" s="34"/>
      <c r="AB198" s="34"/>
      <c r="AC198" s="33"/>
      <c r="AD198" s="34"/>
      <c r="AE198" s="34"/>
      <c r="AF198" s="34"/>
      <c r="AG198" s="33"/>
      <c r="AH198" s="34"/>
      <c r="AI198" s="34"/>
      <c r="AJ198" s="34"/>
    </row>
    <row r="199" spans="1:36" ht="15.75" customHeight="1" x14ac:dyDescent="0.3">
      <c r="A199" s="33"/>
      <c r="B199" s="34"/>
      <c r="C199" s="34"/>
      <c r="D199" s="34"/>
      <c r="E199" s="33"/>
      <c r="F199" s="34"/>
      <c r="G199" s="34"/>
      <c r="H199" s="34"/>
      <c r="I199" s="34"/>
      <c r="J199" s="33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3"/>
      <c r="V199" s="34"/>
      <c r="W199" s="34"/>
      <c r="X199" s="34"/>
      <c r="Y199" s="34"/>
      <c r="Z199" s="34"/>
      <c r="AA199" s="34"/>
      <c r="AB199" s="34"/>
      <c r="AC199" s="33"/>
      <c r="AD199" s="34"/>
      <c r="AE199" s="34"/>
      <c r="AF199" s="34"/>
      <c r="AG199" s="33"/>
      <c r="AH199" s="34"/>
      <c r="AI199" s="34"/>
      <c r="AJ199" s="34"/>
    </row>
    <row r="200" spans="1:36" ht="15.75" customHeight="1" x14ac:dyDescent="0.3">
      <c r="A200" s="33"/>
      <c r="B200" s="34"/>
      <c r="C200" s="34"/>
      <c r="D200" s="34"/>
      <c r="E200" s="33"/>
      <c r="F200" s="34"/>
      <c r="G200" s="34"/>
      <c r="H200" s="34"/>
      <c r="I200" s="34"/>
      <c r="J200" s="33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3"/>
      <c r="V200" s="34"/>
      <c r="W200" s="34"/>
      <c r="X200" s="34"/>
      <c r="Y200" s="34"/>
      <c r="Z200" s="34"/>
      <c r="AA200" s="34"/>
      <c r="AB200" s="34"/>
      <c r="AC200" s="33"/>
      <c r="AD200" s="34"/>
      <c r="AE200" s="34"/>
      <c r="AF200" s="34"/>
      <c r="AG200" s="33"/>
      <c r="AH200" s="34"/>
      <c r="AI200" s="34"/>
      <c r="AJ200" s="34"/>
    </row>
    <row r="201" spans="1:36" ht="15.75" customHeight="1" x14ac:dyDescent="0.3">
      <c r="A201" s="33"/>
      <c r="B201" s="34"/>
      <c r="C201" s="34"/>
      <c r="D201" s="34"/>
      <c r="E201" s="33"/>
      <c r="F201" s="34"/>
      <c r="G201" s="34"/>
      <c r="H201" s="34"/>
      <c r="I201" s="34"/>
      <c r="J201" s="33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3"/>
      <c r="V201" s="34"/>
      <c r="W201" s="34"/>
      <c r="X201" s="34"/>
      <c r="Y201" s="34"/>
      <c r="Z201" s="34"/>
      <c r="AA201" s="34"/>
      <c r="AB201" s="34"/>
      <c r="AC201" s="33"/>
      <c r="AD201" s="34"/>
      <c r="AE201" s="34"/>
      <c r="AF201" s="34"/>
      <c r="AG201" s="33"/>
      <c r="AH201" s="34"/>
      <c r="AI201" s="34"/>
      <c r="AJ201" s="34"/>
    </row>
    <row r="202" spans="1:36" ht="15.75" customHeight="1" x14ac:dyDescent="0.3">
      <c r="A202" s="33"/>
      <c r="B202" s="34"/>
      <c r="C202" s="34"/>
      <c r="D202" s="34"/>
      <c r="E202" s="33"/>
      <c r="F202" s="34"/>
      <c r="G202" s="34"/>
      <c r="H202" s="34"/>
      <c r="I202" s="34"/>
      <c r="J202" s="33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3"/>
      <c r="V202" s="34"/>
      <c r="W202" s="34"/>
      <c r="X202" s="34"/>
      <c r="Y202" s="34"/>
      <c r="Z202" s="34"/>
      <c r="AA202" s="34"/>
      <c r="AB202" s="34"/>
      <c r="AC202" s="33"/>
      <c r="AD202" s="34"/>
      <c r="AE202" s="34"/>
      <c r="AF202" s="34"/>
      <c r="AG202" s="33"/>
      <c r="AH202" s="34"/>
      <c r="AI202" s="34"/>
      <c r="AJ202" s="34"/>
    </row>
    <row r="203" spans="1:36" ht="15.75" customHeight="1" x14ac:dyDescent="0.3">
      <c r="A203" s="33"/>
      <c r="B203" s="34"/>
      <c r="C203" s="34"/>
      <c r="D203" s="34"/>
      <c r="E203" s="33"/>
      <c r="F203" s="34"/>
      <c r="G203" s="34"/>
      <c r="H203" s="34"/>
      <c r="I203" s="34"/>
      <c r="J203" s="33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3"/>
      <c r="V203" s="34"/>
      <c r="W203" s="34"/>
      <c r="X203" s="34"/>
      <c r="Y203" s="34"/>
      <c r="Z203" s="34"/>
      <c r="AA203" s="34"/>
      <c r="AB203" s="34"/>
      <c r="AC203" s="33"/>
      <c r="AD203" s="34"/>
      <c r="AE203" s="34"/>
      <c r="AF203" s="34"/>
      <c r="AG203" s="33"/>
      <c r="AH203" s="34"/>
      <c r="AI203" s="34"/>
      <c r="AJ203" s="34"/>
    </row>
    <row r="204" spans="1:36" ht="15.75" customHeight="1" x14ac:dyDescent="0.3">
      <c r="A204" s="33"/>
      <c r="B204" s="34"/>
      <c r="C204" s="34"/>
      <c r="D204" s="34"/>
      <c r="E204" s="33"/>
      <c r="F204" s="34"/>
      <c r="G204" s="34"/>
      <c r="H204" s="34"/>
      <c r="I204" s="34"/>
      <c r="J204" s="33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3"/>
      <c r="V204" s="34"/>
      <c r="W204" s="34"/>
      <c r="X204" s="34"/>
      <c r="Y204" s="34"/>
      <c r="Z204" s="34"/>
      <c r="AA204" s="34"/>
      <c r="AB204" s="34"/>
      <c r="AC204" s="33"/>
      <c r="AD204" s="34"/>
      <c r="AE204" s="34"/>
      <c r="AF204" s="34"/>
      <c r="AG204" s="33"/>
      <c r="AH204" s="34"/>
      <c r="AI204" s="34"/>
      <c r="AJ204" s="34"/>
    </row>
    <row r="205" spans="1:36" ht="15.75" customHeight="1" x14ac:dyDescent="0.3">
      <c r="A205" s="33"/>
      <c r="B205" s="34"/>
      <c r="C205" s="34"/>
      <c r="D205" s="34"/>
      <c r="E205" s="33"/>
      <c r="F205" s="34"/>
      <c r="G205" s="34"/>
      <c r="H205" s="34"/>
      <c r="I205" s="34"/>
      <c r="J205" s="33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3"/>
      <c r="V205" s="34"/>
      <c r="W205" s="34"/>
      <c r="X205" s="34"/>
      <c r="Y205" s="34"/>
      <c r="Z205" s="34"/>
      <c r="AA205" s="34"/>
      <c r="AB205" s="34"/>
      <c r="AC205" s="33"/>
      <c r="AD205" s="34"/>
      <c r="AE205" s="34"/>
      <c r="AF205" s="34"/>
      <c r="AG205" s="33"/>
      <c r="AH205" s="34"/>
      <c r="AI205" s="34"/>
      <c r="AJ205" s="34"/>
    </row>
    <row r="206" spans="1:36" ht="15.75" customHeight="1" x14ac:dyDescent="0.3">
      <c r="A206" s="33"/>
      <c r="B206" s="34"/>
      <c r="C206" s="34"/>
      <c r="D206" s="34"/>
      <c r="E206" s="33"/>
      <c r="F206" s="34"/>
      <c r="G206" s="34"/>
      <c r="H206" s="34"/>
      <c r="I206" s="34"/>
      <c r="J206" s="33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3"/>
      <c r="V206" s="34"/>
      <c r="W206" s="34"/>
      <c r="X206" s="34"/>
      <c r="Y206" s="34"/>
      <c r="Z206" s="34"/>
      <c r="AA206" s="34"/>
      <c r="AB206" s="34"/>
      <c r="AC206" s="33"/>
      <c r="AD206" s="34"/>
      <c r="AE206" s="34"/>
      <c r="AF206" s="34"/>
      <c r="AG206" s="33"/>
      <c r="AH206" s="34"/>
      <c r="AI206" s="34"/>
      <c r="AJ206" s="34"/>
    </row>
    <row r="207" spans="1:36" ht="15.75" customHeight="1" x14ac:dyDescent="0.3">
      <c r="A207" s="33"/>
      <c r="B207" s="34"/>
      <c r="C207" s="34"/>
      <c r="D207" s="34"/>
      <c r="E207" s="33"/>
      <c r="F207" s="34"/>
      <c r="G207" s="34"/>
      <c r="H207" s="34"/>
      <c r="I207" s="34"/>
      <c r="J207" s="33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3"/>
      <c r="V207" s="34"/>
      <c r="W207" s="34"/>
      <c r="X207" s="34"/>
      <c r="Y207" s="34"/>
      <c r="Z207" s="34"/>
      <c r="AA207" s="34"/>
      <c r="AB207" s="34"/>
      <c r="AC207" s="33"/>
      <c r="AD207" s="34"/>
      <c r="AE207" s="34"/>
      <c r="AF207" s="34"/>
      <c r="AG207" s="33"/>
      <c r="AH207" s="34"/>
      <c r="AI207" s="34"/>
      <c r="AJ207" s="34"/>
    </row>
    <row r="208" spans="1:36" ht="15.75" customHeight="1" x14ac:dyDescent="0.3">
      <c r="A208" s="33"/>
      <c r="B208" s="34"/>
      <c r="C208" s="34"/>
      <c r="D208" s="34"/>
      <c r="E208" s="33"/>
      <c r="F208" s="34"/>
      <c r="G208" s="34"/>
      <c r="H208" s="34"/>
      <c r="I208" s="34"/>
      <c r="J208" s="33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3"/>
      <c r="V208" s="34"/>
      <c r="W208" s="34"/>
      <c r="X208" s="34"/>
      <c r="Y208" s="34"/>
      <c r="Z208" s="34"/>
      <c r="AA208" s="34"/>
      <c r="AB208" s="34"/>
      <c r="AC208" s="33"/>
      <c r="AD208" s="34"/>
      <c r="AE208" s="34"/>
      <c r="AF208" s="34"/>
      <c r="AG208" s="33"/>
      <c r="AH208" s="34"/>
      <c r="AI208" s="34"/>
      <c r="AJ208" s="34"/>
    </row>
    <row r="209" spans="1:36" ht="15.75" customHeight="1" x14ac:dyDescent="0.3">
      <c r="A209" s="33"/>
      <c r="B209" s="34"/>
      <c r="C209" s="34"/>
      <c r="D209" s="34"/>
      <c r="E209" s="33"/>
      <c r="F209" s="34"/>
      <c r="G209" s="34"/>
      <c r="H209" s="34"/>
      <c r="I209" s="34"/>
      <c r="J209" s="33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3"/>
      <c r="V209" s="34"/>
      <c r="W209" s="34"/>
      <c r="X209" s="34"/>
      <c r="Y209" s="34"/>
      <c r="Z209" s="34"/>
      <c r="AA209" s="34"/>
      <c r="AB209" s="34"/>
      <c r="AC209" s="33"/>
      <c r="AD209" s="34"/>
      <c r="AE209" s="34"/>
      <c r="AF209" s="34"/>
      <c r="AG209" s="33"/>
      <c r="AH209" s="34"/>
      <c r="AI209" s="34"/>
      <c r="AJ209" s="34"/>
    </row>
    <row r="210" spans="1:36" ht="15.75" customHeight="1" x14ac:dyDescent="0.3">
      <c r="A210" s="33"/>
      <c r="B210" s="34"/>
      <c r="C210" s="34"/>
      <c r="D210" s="34"/>
      <c r="E210" s="33"/>
      <c r="F210" s="34"/>
      <c r="G210" s="34"/>
      <c r="H210" s="34"/>
      <c r="I210" s="34"/>
      <c r="J210" s="33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3"/>
      <c r="V210" s="34"/>
      <c r="W210" s="34"/>
      <c r="X210" s="34"/>
      <c r="Y210" s="34"/>
      <c r="Z210" s="34"/>
      <c r="AA210" s="34"/>
      <c r="AB210" s="34"/>
      <c r="AC210" s="33"/>
      <c r="AD210" s="34"/>
      <c r="AE210" s="34"/>
      <c r="AF210" s="34"/>
      <c r="AG210" s="33"/>
      <c r="AH210" s="34"/>
      <c r="AI210" s="34"/>
      <c r="AJ210" s="34"/>
    </row>
  </sheetData>
  <dataValidations disablePrompts="1" count="1">
    <dataValidation type="list" allowBlank="1" sqref="G107:G116 G16:G25 G42:G51 G3:G12 G133:G142 G29:G38 G55:G64 G68:G77 G81:G90 G120:G129 G94:G103 G146:G155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МП_Total</vt:lpstr>
      <vt:lpstr>МП_Periods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Черноталов</dc:creator>
  <cp:lastModifiedBy>Вадим Кузнецов</cp:lastModifiedBy>
  <dcterms:created xsi:type="dcterms:W3CDTF">2010-04-10T10:16:35Z</dcterms:created>
  <dcterms:modified xsi:type="dcterms:W3CDTF">2026-04-03T16:01:55Z</dcterms:modified>
</cp:coreProperties>
</file>