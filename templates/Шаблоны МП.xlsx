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edia_planner\templates\"/>
    </mc:Choice>
  </mc:AlternateContent>
  <xr:revisionPtr revIDLastSave="0" documentId="13_ncr:1_{1803D0EE-A8BA-4A58-8727-D6DBF7FB7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П_Total" sheetId="3" r:id="rId1"/>
    <sheet name="МП_Periods" sheetId="4" r:id="rId2"/>
  </sheets>
  <calcPr calcId="181029"/>
  <extLst>
    <ext uri="GoogleSheetsCustomDataVersion2">
      <go:sheetsCustomData xmlns:go="http://customooxmlschemas.google.com/" r:id="rId15" roundtripDataChecksum="Vz3oXheFtCgPvDyBdCe3bvU6gbow63a+IldyQWs1kc4="/>
    </ext>
  </extLst>
</workbook>
</file>

<file path=xl/calcChain.xml><?xml version="1.0" encoding="utf-8"?>
<calcChain xmlns="http://schemas.openxmlformats.org/spreadsheetml/2006/main">
  <c r="AB4" i="3" l="1"/>
  <c r="AB5" i="3"/>
  <c r="AB6" i="3"/>
  <c r="AA6" i="3" s="1"/>
  <c r="AB7" i="3"/>
  <c r="AB8" i="3"/>
  <c r="AB9" i="3"/>
  <c r="AB10" i="3"/>
  <c r="AB11" i="3"/>
  <c r="AB12" i="3"/>
  <c r="V13" i="3"/>
  <c r="AC13" i="3"/>
  <c r="AC4" i="3"/>
  <c r="AC5" i="3"/>
  <c r="AC6" i="3"/>
  <c r="AC7" i="3"/>
  <c r="AC8" i="3"/>
  <c r="BB8" i="3" s="1"/>
  <c r="AC9" i="3"/>
  <c r="AC10" i="3"/>
  <c r="AC11" i="3"/>
  <c r="AC12" i="3"/>
  <c r="AS13" i="3"/>
  <c r="AC3" i="3"/>
  <c r="AX4" i="3"/>
  <c r="AW4" i="3" s="1"/>
  <c r="AX5" i="3"/>
  <c r="AX6" i="3"/>
  <c r="AX7" i="3"/>
  <c r="AV7" i="3" s="1"/>
  <c r="AX8" i="3"/>
  <c r="AX9" i="3"/>
  <c r="AX10" i="3"/>
  <c r="AX11" i="3"/>
  <c r="AW11" i="3" s="1"/>
  <c r="AX12" i="3"/>
  <c r="AW12" i="3" s="1"/>
  <c r="AX3" i="3"/>
  <c r="AW5" i="3"/>
  <c r="AW6" i="3"/>
  <c r="AW8" i="3"/>
  <c r="AW9" i="3"/>
  <c r="AW10" i="3"/>
  <c r="AW3" i="3"/>
  <c r="AS4" i="3"/>
  <c r="AS5" i="3"/>
  <c r="AR5" i="3" s="1"/>
  <c r="AS6" i="3"/>
  <c r="AS7" i="3"/>
  <c r="AR7" i="3" s="1"/>
  <c r="AS8" i="3"/>
  <c r="AR8" i="3" s="1"/>
  <c r="AS9" i="3"/>
  <c r="AS10" i="3"/>
  <c r="AS11" i="3"/>
  <c r="AS12" i="3"/>
  <c r="AS3" i="3"/>
  <c r="AO4" i="3"/>
  <c r="AO5" i="3"/>
  <c r="AO6" i="3"/>
  <c r="AO7" i="3"/>
  <c r="AO8" i="3"/>
  <c r="AO9" i="3"/>
  <c r="AO10" i="3"/>
  <c r="AO11" i="3"/>
  <c r="AO12" i="3"/>
  <c r="AO3" i="3"/>
  <c r="AK3" i="3"/>
  <c r="AF4" i="3"/>
  <c r="AF5" i="3"/>
  <c r="AF6" i="3"/>
  <c r="AF7" i="3"/>
  <c r="AZ7" i="3" s="1"/>
  <c r="AF8" i="3"/>
  <c r="BC8" i="3" s="1"/>
  <c r="AF9" i="3"/>
  <c r="AF10" i="3"/>
  <c r="AF11" i="3"/>
  <c r="AF12" i="3"/>
  <c r="AF3" i="3"/>
  <c r="BH6" i="3"/>
  <c r="AB3" i="3"/>
  <c r="Z4" i="3"/>
  <c r="Z5" i="3"/>
  <c r="Z6" i="3"/>
  <c r="Z7" i="3"/>
  <c r="Y7" i="3" s="1"/>
  <c r="Z8" i="3"/>
  <c r="Z9" i="3"/>
  <c r="Z10" i="3"/>
  <c r="Z11" i="3"/>
  <c r="Z12" i="3"/>
  <c r="Z3" i="3"/>
  <c r="X4" i="3"/>
  <c r="X5" i="3"/>
  <c r="X6" i="3"/>
  <c r="X7" i="3"/>
  <c r="X8" i="3"/>
  <c r="U8" i="3" s="1"/>
  <c r="X9" i="3"/>
  <c r="Y9" i="3" s="1"/>
  <c r="X10" i="3"/>
  <c r="X11" i="3"/>
  <c r="X12" i="3"/>
  <c r="X3" i="3"/>
  <c r="BG9" i="3"/>
  <c r="BD9" i="3"/>
  <c r="BA9" i="3"/>
  <c r="BB9" i="3" s="1"/>
  <c r="AT9" i="3"/>
  <c r="AK9" i="3"/>
  <c r="AL9" i="3" s="1"/>
  <c r="AH9" i="3"/>
  <c r="BH9" i="3"/>
  <c r="V9" i="3"/>
  <c r="BG8" i="3"/>
  <c r="BD8" i="3"/>
  <c r="BA8" i="3"/>
  <c r="AN8" i="3"/>
  <c r="AK8" i="3"/>
  <c r="AL8" i="3" s="1"/>
  <c r="AH8" i="3"/>
  <c r="AA8" i="3"/>
  <c r="V8" i="3"/>
  <c r="BG7" i="3"/>
  <c r="BF7" i="3" s="1"/>
  <c r="BD7" i="3"/>
  <c r="BA7" i="3"/>
  <c r="AT7" i="3"/>
  <c r="AN7" i="3"/>
  <c r="AK7" i="3"/>
  <c r="AL7" i="3" s="1"/>
  <c r="AH7" i="3"/>
  <c r="U7" i="3"/>
  <c r="V7" i="3"/>
  <c r="BG6" i="3"/>
  <c r="BF6" i="3" s="1"/>
  <c r="BD6" i="3"/>
  <c r="BC6" i="3"/>
  <c r="BA6" i="3"/>
  <c r="AZ6" i="3" s="1"/>
  <c r="AR6" i="3"/>
  <c r="AN6" i="3"/>
  <c r="AK6" i="3"/>
  <c r="AL6" i="3" s="1"/>
  <c r="AH6" i="3"/>
  <c r="AG6" i="3"/>
  <c r="Y6" i="3"/>
  <c r="V6" i="3"/>
  <c r="U6" i="3" s="1"/>
  <c r="BG5" i="3"/>
  <c r="BD5" i="3"/>
  <c r="BC5" i="3" s="1"/>
  <c r="BA5" i="3"/>
  <c r="AZ5" i="3" s="1"/>
  <c r="AN5" i="3"/>
  <c r="AK5" i="3"/>
  <c r="AL5" i="3" s="1"/>
  <c r="AH5" i="3"/>
  <c r="AG5" i="3"/>
  <c r="BH5" i="3"/>
  <c r="AA5" i="3"/>
  <c r="U5" i="3"/>
  <c r="V5" i="3"/>
  <c r="AO155" i="4"/>
  <c r="AO154" i="4"/>
  <c r="AO153" i="4"/>
  <c r="AO152" i="4"/>
  <c r="AO151" i="4"/>
  <c r="AO150" i="4"/>
  <c r="AO149" i="4"/>
  <c r="AO148" i="4"/>
  <c r="AO156" i="4" s="1"/>
  <c r="AN156" i="4" s="1"/>
  <c r="AO147" i="4"/>
  <c r="AO146" i="4"/>
  <c r="AO142" i="4"/>
  <c r="AO141" i="4"/>
  <c r="AO140" i="4"/>
  <c r="AO139" i="4"/>
  <c r="AO138" i="4"/>
  <c r="AO137" i="4"/>
  <c r="AO136" i="4"/>
  <c r="AO135" i="4"/>
  <c r="AO143" i="4" s="1"/>
  <c r="AN143" i="4" s="1"/>
  <c r="AO134" i="4"/>
  <c r="AO133" i="4"/>
  <c r="AO129" i="4"/>
  <c r="AO128" i="4"/>
  <c r="AO127" i="4"/>
  <c r="AO126" i="4"/>
  <c r="AO125" i="4"/>
  <c r="AO124" i="4"/>
  <c r="AO123" i="4"/>
  <c r="AO122" i="4"/>
  <c r="AO121" i="4"/>
  <c r="AO120" i="4"/>
  <c r="AO116" i="4"/>
  <c r="AO115" i="4"/>
  <c r="AO114" i="4"/>
  <c r="AO113" i="4"/>
  <c r="AO112" i="4"/>
  <c r="AO111" i="4"/>
  <c r="AO110" i="4"/>
  <c r="AO109" i="4"/>
  <c r="AO108" i="4"/>
  <c r="AO117" i="4" s="1"/>
  <c r="AN117" i="4" s="1"/>
  <c r="AO107" i="4"/>
  <c r="AO103" i="4"/>
  <c r="AO102" i="4"/>
  <c r="AO101" i="4"/>
  <c r="AO100" i="4"/>
  <c r="AO99" i="4"/>
  <c r="AO98" i="4"/>
  <c r="AO97" i="4"/>
  <c r="AO96" i="4"/>
  <c r="AO95" i="4"/>
  <c r="AO94" i="4"/>
  <c r="AO90" i="4"/>
  <c r="AO89" i="4"/>
  <c r="AO88" i="4"/>
  <c r="AO87" i="4"/>
  <c r="AO86" i="4"/>
  <c r="AO85" i="4"/>
  <c r="AO84" i="4"/>
  <c r="AO83" i="4"/>
  <c r="AO82" i="4"/>
  <c r="AO81" i="4"/>
  <c r="AO77" i="4"/>
  <c r="AO76" i="4"/>
  <c r="AO75" i="4"/>
  <c r="AO74" i="4"/>
  <c r="AO73" i="4"/>
  <c r="AO72" i="4"/>
  <c r="AO71" i="4"/>
  <c r="AO78" i="4" s="1"/>
  <c r="AN78" i="4" s="1"/>
  <c r="AO70" i="4"/>
  <c r="AO69" i="4"/>
  <c r="AO68" i="4"/>
  <c r="AO64" i="4"/>
  <c r="AO63" i="4"/>
  <c r="AO62" i="4"/>
  <c r="AO61" i="4"/>
  <c r="AO60" i="4"/>
  <c r="AO59" i="4"/>
  <c r="AO58" i="4"/>
  <c r="AO57" i="4"/>
  <c r="AO56" i="4"/>
  <c r="AO55" i="4"/>
  <c r="AO65" i="4" s="1"/>
  <c r="AN65" i="4" s="1"/>
  <c r="AO51" i="4"/>
  <c r="AO50" i="4"/>
  <c r="AO49" i="4"/>
  <c r="AO48" i="4"/>
  <c r="AO47" i="4"/>
  <c r="AO46" i="4"/>
  <c r="AO45" i="4"/>
  <c r="AO44" i="4"/>
  <c r="AO43" i="4"/>
  <c r="AO42" i="4"/>
  <c r="AO38" i="4"/>
  <c r="AO37" i="4"/>
  <c r="AO36" i="4"/>
  <c r="AO35" i="4"/>
  <c r="AO34" i="4"/>
  <c r="AO33" i="4"/>
  <c r="AO32" i="4"/>
  <c r="AO31" i="4"/>
  <c r="AO39" i="4" s="1"/>
  <c r="AN39" i="4" s="1"/>
  <c r="AO30" i="4"/>
  <c r="AO29" i="4"/>
  <c r="AO25" i="4"/>
  <c r="AO24" i="4"/>
  <c r="AO23" i="4"/>
  <c r="AO22" i="4"/>
  <c r="AO21" i="4"/>
  <c r="AO20" i="4"/>
  <c r="AO19" i="4"/>
  <c r="AO18" i="4"/>
  <c r="AO26" i="4" s="1"/>
  <c r="AN26" i="4" s="1"/>
  <c r="AO17" i="4"/>
  <c r="AO16" i="4"/>
  <c r="AN13" i="4"/>
  <c r="AO4" i="4"/>
  <c r="AO5" i="4"/>
  <c r="AO6" i="4"/>
  <c r="AO7" i="4"/>
  <c r="AO8" i="4"/>
  <c r="AO9" i="4"/>
  <c r="AO10" i="4"/>
  <c r="AO11" i="4"/>
  <c r="AO12" i="4"/>
  <c r="AO3" i="4"/>
  <c r="AF156" i="4"/>
  <c r="AJ152" i="4"/>
  <c r="AB152" i="4"/>
  <c r="AF152" i="4" s="1"/>
  <c r="Y152" i="4"/>
  <c r="I152" i="4"/>
  <c r="K152" i="4" s="1"/>
  <c r="M152" i="4" s="1"/>
  <c r="O152" i="4" s="1"/>
  <c r="P152" i="4" s="1"/>
  <c r="AJ151" i="4"/>
  <c r="AB151" i="4"/>
  <c r="AF151" i="4" s="1"/>
  <c r="Y151" i="4"/>
  <c r="I151" i="4"/>
  <c r="K151" i="4" s="1"/>
  <c r="M151" i="4" s="1"/>
  <c r="O151" i="4" s="1"/>
  <c r="P151" i="4" s="1"/>
  <c r="AJ150" i="4"/>
  <c r="AB150" i="4"/>
  <c r="AF150" i="4" s="1"/>
  <c r="Y150" i="4"/>
  <c r="I150" i="4"/>
  <c r="K150" i="4" s="1"/>
  <c r="M150" i="4" s="1"/>
  <c r="O150" i="4" s="1"/>
  <c r="P150" i="4" s="1"/>
  <c r="AJ149" i="4"/>
  <c r="AB149" i="4"/>
  <c r="AF149" i="4" s="1"/>
  <c r="Y149" i="4"/>
  <c r="I149" i="4"/>
  <c r="K149" i="4" s="1"/>
  <c r="M149" i="4" s="1"/>
  <c r="O149" i="4" s="1"/>
  <c r="P149" i="4" s="1"/>
  <c r="AJ148" i="4"/>
  <c r="AB148" i="4"/>
  <c r="AF148" i="4" s="1"/>
  <c r="Y148" i="4"/>
  <c r="I148" i="4"/>
  <c r="K148" i="4" s="1"/>
  <c r="M148" i="4" s="1"/>
  <c r="O148" i="4" s="1"/>
  <c r="P148" i="4" s="1"/>
  <c r="AJ139" i="4"/>
  <c r="AB139" i="4"/>
  <c r="AF139" i="4" s="1"/>
  <c r="Y139" i="4"/>
  <c r="I139" i="4"/>
  <c r="K139" i="4" s="1"/>
  <c r="M139" i="4" s="1"/>
  <c r="O139" i="4" s="1"/>
  <c r="P139" i="4" s="1"/>
  <c r="AJ138" i="4"/>
  <c r="AB138" i="4"/>
  <c r="AF138" i="4" s="1"/>
  <c r="Y138" i="4"/>
  <c r="I138" i="4"/>
  <c r="K138" i="4" s="1"/>
  <c r="M138" i="4" s="1"/>
  <c r="O138" i="4" s="1"/>
  <c r="P138" i="4" s="1"/>
  <c r="AJ137" i="4"/>
  <c r="AB137" i="4"/>
  <c r="AF137" i="4" s="1"/>
  <c r="Y137" i="4"/>
  <c r="I137" i="4"/>
  <c r="K137" i="4" s="1"/>
  <c r="M137" i="4" s="1"/>
  <c r="O137" i="4" s="1"/>
  <c r="P137" i="4" s="1"/>
  <c r="AJ136" i="4"/>
  <c r="AB136" i="4"/>
  <c r="AF136" i="4" s="1"/>
  <c r="Y136" i="4"/>
  <c r="I136" i="4"/>
  <c r="K136" i="4" s="1"/>
  <c r="M136" i="4" s="1"/>
  <c r="O136" i="4" s="1"/>
  <c r="P136" i="4" s="1"/>
  <c r="AJ135" i="4"/>
  <c r="AB135" i="4"/>
  <c r="AF135" i="4" s="1"/>
  <c r="Y135" i="4"/>
  <c r="I135" i="4"/>
  <c r="K135" i="4" s="1"/>
  <c r="M135" i="4" s="1"/>
  <c r="O135" i="4" s="1"/>
  <c r="P135" i="4" s="1"/>
  <c r="AJ126" i="4"/>
  <c r="AB126" i="4"/>
  <c r="AF126" i="4" s="1"/>
  <c r="Y126" i="4"/>
  <c r="I126" i="4"/>
  <c r="K126" i="4" s="1"/>
  <c r="M126" i="4" s="1"/>
  <c r="O126" i="4" s="1"/>
  <c r="P126" i="4" s="1"/>
  <c r="AJ125" i="4"/>
  <c r="AB125" i="4"/>
  <c r="AF125" i="4" s="1"/>
  <c r="Y125" i="4"/>
  <c r="I125" i="4"/>
  <c r="K125" i="4" s="1"/>
  <c r="M125" i="4" s="1"/>
  <c r="O125" i="4" s="1"/>
  <c r="P125" i="4" s="1"/>
  <c r="AJ124" i="4"/>
  <c r="AB124" i="4"/>
  <c r="AF124" i="4" s="1"/>
  <c r="Y124" i="4"/>
  <c r="I124" i="4"/>
  <c r="K124" i="4" s="1"/>
  <c r="M124" i="4" s="1"/>
  <c r="O124" i="4" s="1"/>
  <c r="P124" i="4" s="1"/>
  <c r="AJ123" i="4"/>
  <c r="AB123" i="4"/>
  <c r="AF123" i="4" s="1"/>
  <c r="Y123" i="4"/>
  <c r="I123" i="4"/>
  <c r="K123" i="4" s="1"/>
  <c r="M123" i="4" s="1"/>
  <c r="O123" i="4" s="1"/>
  <c r="P123" i="4" s="1"/>
  <c r="AJ122" i="4"/>
  <c r="AB122" i="4"/>
  <c r="AF122" i="4" s="1"/>
  <c r="Y122" i="4"/>
  <c r="I122" i="4"/>
  <c r="K122" i="4" s="1"/>
  <c r="M122" i="4" s="1"/>
  <c r="O122" i="4" s="1"/>
  <c r="P122" i="4" s="1"/>
  <c r="AJ113" i="4"/>
  <c r="AB113" i="4"/>
  <c r="AF113" i="4" s="1"/>
  <c r="Y113" i="4"/>
  <c r="I113" i="4"/>
  <c r="K113" i="4" s="1"/>
  <c r="M113" i="4" s="1"/>
  <c r="O113" i="4" s="1"/>
  <c r="P113" i="4" s="1"/>
  <c r="AJ112" i="4"/>
  <c r="AB112" i="4"/>
  <c r="AF112" i="4" s="1"/>
  <c r="Y112" i="4"/>
  <c r="I112" i="4"/>
  <c r="K112" i="4" s="1"/>
  <c r="M112" i="4" s="1"/>
  <c r="O112" i="4" s="1"/>
  <c r="P112" i="4" s="1"/>
  <c r="AJ111" i="4"/>
  <c r="AB111" i="4"/>
  <c r="AF111" i="4" s="1"/>
  <c r="Y111" i="4"/>
  <c r="I111" i="4"/>
  <c r="K111" i="4" s="1"/>
  <c r="M111" i="4" s="1"/>
  <c r="O111" i="4" s="1"/>
  <c r="P111" i="4" s="1"/>
  <c r="AJ110" i="4"/>
  <c r="AB110" i="4"/>
  <c r="AF110" i="4" s="1"/>
  <c r="Y110" i="4"/>
  <c r="I110" i="4"/>
  <c r="K110" i="4" s="1"/>
  <c r="M110" i="4" s="1"/>
  <c r="O110" i="4" s="1"/>
  <c r="P110" i="4" s="1"/>
  <c r="AJ109" i="4"/>
  <c r="AB109" i="4"/>
  <c r="AF109" i="4" s="1"/>
  <c r="Y109" i="4"/>
  <c r="I109" i="4"/>
  <c r="K109" i="4" s="1"/>
  <c r="M109" i="4" s="1"/>
  <c r="O109" i="4" s="1"/>
  <c r="P109" i="4" s="1"/>
  <c r="AJ100" i="4"/>
  <c r="AB100" i="4"/>
  <c r="AF100" i="4" s="1"/>
  <c r="Y100" i="4"/>
  <c r="I100" i="4"/>
  <c r="K100" i="4" s="1"/>
  <c r="M100" i="4" s="1"/>
  <c r="O100" i="4" s="1"/>
  <c r="P100" i="4" s="1"/>
  <c r="AJ99" i="4"/>
  <c r="AB99" i="4"/>
  <c r="AF99" i="4" s="1"/>
  <c r="Y99" i="4"/>
  <c r="I99" i="4"/>
  <c r="K99" i="4" s="1"/>
  <c r="M99" i="4" s="1"/>
  <c r="O99" i="4" s="1"/>
  <c r="P99" i="4" s="1"/>
  <c r="AJ98" i="4"/>
  <c r="AB98" i="4"/>
  <c r="AF98" i="4" s="1"/>
  <c r="Y98" i="4"/>
  <c r="I98" i="4"/>
  <c r="K98" i="4" s="1"/>
  <c r="M98" i="4" s="1"/>
  <c r="O98" i="4" s="1"/>
  <c r="P98" i="4" s="1"/>
  <c r="AJ97" i="4"/>
  <c r="AB97" i="4"/>
  <c r="AF97" i="4" s="1"/>
  <c r="Y97" i="4"/>
  <c r="I97" i="4"/>
  <c r="K97" i="4" s="1"/>
  <c r="M97" i="4" s="1"/>
  <c r="O97" i="4" s="1"/>
  <c r="P97" i="4" s="1"/>
  <c r="AJ96" i="4"/>
  <c r="AB96" i="4"/>
  <c r="AF96" i="4" s="1"/>
  <c r="Y96" i="4"/>
  <c r="I96" i="4"/>
  <c r="K96" i="4" s="1"/>
  <c r="M96" i="4" s="1"/>
  <c r="O96" i="4" s="1"/>
  <c r="P96" i="4" s="1"/>
  <c r="AJ87" i="4"/>
  <c r="AB87" i="4"/>
  <c r="AF87" i="4" s="1"/>
  <c r="Y87" i="4"/>
  <c r="I87" i="4"/>
  <c r="K87" i="4" s="1"/>
  <c r="M87" i="4" s="1"/>
  <c r="O87" i="4" s="1"/>
  <c r="P87" i="4" s="1"/>
  <c r="AJ86" i="4"/>
  <c r="AB86" i="4"/>
  <c r="AF86" i="4" s="1"/>
  <c r="Y86" i="4"/>
  <c r="I86" i="4"/>
  <c r="K86" i="4" s="1"/>
  <c r="M86" i="4" s="1"/>
  <c r="O86" i="4" s="1"/>
  <c r="P86" i="4" s="1"/>
  <c r="AJ85" i="4"/>
  <c r="AB85" i="4"/>
  <c r="AF85" i="4" s="1"/>
  <c r="Y85" i="4"/>
  <c r="I85" i="4"/>
  <c r="K85" i="4" s="1"/>
  <c r="M85" i="4" s="1"/>
  <c r="O85" i="4" s="1"/>
  <c r="P85" i="4" s="1"/>
  <c r="AJ84" i="4"/>
  <c r="AB84" i="4"/>
  <c r="AF84" i="4" s="1"/>
  <c r="Y84" i="4"/>
  <c r="I84" i="4"/>
  <c r="K84" i="4" s="1"/>
  <c r="M84" i="4" s="1"/>
  <c r="O84" i="4" s="1"/>
  <c r="P84" i="4" s="1"/>
  <c r="AJ83" i="4"/>
  <c r="AB83" i="4"/>
  <c r="AF83" i="4" s="1"/>
  <c r="Y83" i="4"/>
  <c r="I83" i="4"/>
  <c r="K83" i="4" s="1"/>
  <c r="M83" i="4" s="1"/>
  <c r="O83" i="4" s="1"/>
  <c r="P83" i="4" s="1"/>
  <c r="AJ74" i="4"/>
  <c r="AB74" i="4"/>
  <c r="AF74" i="4" s="1"/>
  <c r="Y74" i="4"/>
  <c r="I74" i="4"/>
  <c r="K74" i="4" s="1"/>
  <c r="M74" i="4" s="1"/>
  <c r="O74" i="4" s="1"/>
  <c r="P74" i="4" s="1"/>
  <c r="AJ73" i="4"/>
  <c r="AB73" i="4"/>
  <c r="AF73" i="4" s="1"/>
  <c r="Y73" i="4"/>
  <c r="I73" i="4"/>
  <c r="K73" i="4" s="1"/>
  <c r="M73" i="4" s="1"/>
  <c r="O73" i="4" s="1"/>
  <c r="P73" i="4" s="1"/>
  <c r="AJ72" i="4"/>
  <c r="AB72" i="4"/>
  <c r="AF72" i="4" s="1"/>
  <c r="Y72" i="4"/>
  <c r="I72" i="4"/>
  <c r="K72" i="4" s="1"/>
  <c r="M72" i="4" s="1"/>
  <c r="O72" i="4" s="1"/>
  <c r="P72" i="4" s="1"/>
  <c r="AJ71" i="4"/>
  <c r="AB71" i="4"/>
  <c r="AF71" i="4" s="1"/>
  <c r="Y71" i="4"/>
  <c r="I71" i="4"/>
  <c r="K71" i="4" s="1"/>
  <c r="M71" i="4" s="1"/>
  <c r="O71" i="4" s="1"/>
  <c r="P71" i="4" s="1"/>
  <c r="AJ70" i="4"/>
  <c r="AB70" i="4"/>
  <c r="AF70" i="4" s="1"/>
  <c r="Y70" i="4"/>
  <c r="I70" i="4"/>
  <c r="K70" i="4" s="1"/>
  <c r="M70" i="4" s="1"/>
  <c r="O70" i="4" s="1"/>
  <c r="P70" i="4" s="1"/>
  <c r="AJ61" i="4"/>
  <c r="AB61" i="4"/>
  <c r="AF61" i="4" s="1"/>
  <c r="Y61" i="4"/>
  <c r="I61" i="4"/>
  <c r="K61" i="4" s="1"/>
  <c r="M61" i="4" s="1"/>
  <c r="O61" i="4" s="1"/>
  <c r="P61" i="4" s="1"/>
  <c r="AJ60" i="4"/>
  <c r="AB60" i="4"/>
  <c r="AF60" i="4" s="1"/>
  <c r="Y60" i="4"/>
  <c r="I60" i="4"/>
  <c r="K60" i="4" s="1"/>
  <c r="M60" i="4" s="1"/>
  <c r="O60" i="4" s="1"/>
  <c r="P60" i="4" s="1"/>
  <c r="AJ59" i="4"/>
  <c r="AB59" i="4"/>
  <c r="AF59" i="4" s="1"/>
  <c r="Y59" i="4"/>
  <c r="I59" i="4"/>
  <c r="K59" i="4" s="1"/>
  <c r="M59" i="4" s="1"/>
  <c r="O59" i="4" s="1"/>
  <c r="P59" i="4" s="1"/>
  <c r="AJ58" i="4"/>
  <c r="AB58" i="4"/>
  <c r="AF58" i="4" s="1"/>
  <c r="Y58" i="4"/>
  <c r="I58" i="4"/>
  <c r="K58" i="4" s="1"/>
  <c r="M58" i="4" s="1"/>
  <c r="O58" i="4" s="1"/>
  <c r="P58" i="4" s="1"/>
  <c r="AJ57" i="4"/>
  <c r="AB57" i="4"/>
  <c r="AF57" i="4" s="1"/>
  <c r="Y57" i="4"/>
  <c r="I57" i="4"/>
  <c r="K57" i="4" s="1"/>
  <c r="M57" i="4" s="1"/>
  <c r="O57" i="4" s="1"/>
  <c r="P57" i="4" s="1"/>
  <c r="AJ47" i="4"/>
  <c r="AB47" i="4"/>
  <c r="AF47" i="4" s="1"/>
  <c r="Y47" i="4"/>
  <c r="I47" i="4"/>
  <c r="K47" i="4" s="1"/>
  <c r="M47" i="4" s="1"/>
  <c r="O47" i="4" s="1"/>
  <c r="P47" i="4" s="1"/>
  <c r="AJ46" i="4"/>
  <c r="AB46" i="4"/>
  <c r="AF46" i="4" s="1"/>
  <c r="Y46" i="4"/>
  <c r="I46" i="4"/>
  <c r="K46" i="4" s="1"/>
  <c r="M46" i="4" s="1"/>
  <c r="O46" i="4" s="1"/>
  <c r="P46" i="4" s="1"/>
  <c r="AJ45" i="4"/>
  <c r="AB45" i="4"/>
  <c r="AF45" i="4" s="1"/>
  <c r="Y45" i="4"/>
  <c r="I45" i="4"/>
  <c r="K45" i="4" s="1"/>
  <c r="M45" i="4" s="1"/>
  <c r="O45" i="4" s="1"/>
  <c r="P45" i="4" s="1"/>
  <c r="AJ44" i="4"/>
  <c r="AB44" i="4"/>
  <c r="AF44" i="4" s="1"/>
  <c r="Y44" i="4"/>
  <c r="I44" i="4"/>
  <c r="K44" i="4" s="1"/>
  <c r="M44" i="4" s="1"/>
  <c r="O44" i="4" s="1"/>
  <c r="P44" i="4" s="1"/>
  <c r="AJ43" i="4"/>
  <c r="AB43" i="4"/>
  <c r="AF43" i="4" s="1"/>
  <c r="Y43" i="4"/>
  <c r="I43" i="4"/>
  <c r="K43" i="4" s="1"/>
  <c r="M43" i="4" s="1"/>
  <c r="O43" i="4" s="1"/>
  <c r="P43" i="4" s="1"/>
  <c r="AJ35" i="4"/>
  <c r="AB35" i="4"/>
  <c r="AF35" i="4" s="1"/>
  <c r="Y35" i="4"/>
  <c r="I35" i="4"/>
  <c r="K35" i="4" s="1"/>
  <c r="M35" i="4" s="1"/>
  <c r="O35" i="4" s="1"/>
  <c r="P35" i="4" s="1"/>
  <c r="AJ34" i="4"/>
  <c r="AB34" i="4"/>
  <c r="AF34" i="4" s="1"/>
  <c r="Y34" i="4"/>
  <c r="I34" i="4"/>
  <c r="K34" i="4" s="1"/>
  <c r="M34" i="4" s="1"/>
  <c r="O34" i="4" s="1"/>
  <c r="P34" i="4" s="1"/>
  <c r="AJ33" i="4"/>
  <c r="AB33" i="4"/>
  <c r="AF33" i="4" s="1"/>
  <c r="Y33" i="4"/>
  <c r="I33" i="4"/>
  <c r="K33" i="4" s="1"/>
  <c r="M33" i="4" s="1"/>
  <c r="O33" i="4" s="1"/>
  <c r="P33" i="4" s="1"/>
  <c r="AJ32" i="4"/>
  <c r="AB32" i="4"/>
  <c r="AF32" i="4" s="1"/>
  <c r="Y32" i="4"/>
  <c r="I32" i="4"/>
  <c r="K32" i="4" s="1"/>
  <c r="M32" i="4" s="1"/>
  <c r="O32" i="4" s="1"/>
  <c r="P32" i="4" s="1"/>
  <c r="AJ31" i="4"/>
  <c r="AB31" i="4"/>
  <c r="AF31" i="4" s="1"/>
  <c r="Y31" i="4"/>
  <c r="I31" i="4"/>
  <c r="K31" i="4" s="1"/>
  <c r="M31" i="4" s="1"/>
  <c r="O31" i="4" s="1"/>
  <c r="P31" i="4" s="1"/>
  <c r="AJ22" i="4"/>
  <c r="AB22" i="4"/>
  <c r="AF22" i="4" s="1"/>
  <c r="Y22" i="4"/>
  <c r="I22" i="4"/>
  <c r="K22" i="4" s="1"/>
  <c r="M22" i="4" s="1"/>
  <c r="O22" i="4" s="1"/>
  <c r="P22" i="4" s="1"/>
  <c r="AJ21" i="4"/>
  <c r="AB21" i="4"/>
  <c r="AF21" i="4" s="1"/>
  <c r="Y21" i="4"/>
  <c r="I21" i="4"/>
  <c r="K21" i="4" s="1"/>
  <c r="M21" i="4" s="1"/>
  <c r="O21" i="4" s="1"/>
  <c r="P21" i="4" s="1"/>
  <c r="AJ20" i="4"/>
  <c r="AB20" i="4"/>
  <c r="AF20" i="4" s="1"/>
  <c r="Y20" i="4"/>
  <c r="I20" i="4"/>
  <c r="K20" i="4" s="1"/>
  <c r="M20" i="4" s="1"/>
  <c r="O20" i="4" s="1"/>
  <c r="P20" i="4" s="1"/>
  <c r="AJ19" i="4"/>
  <c r="AB19" i="4"/>
  <c r="AF19" i="4" s="1"/>
  <c r="Y19" i="4"/>
  <c r="I19" i="4"/>
  <c r="K19" i="4" s="1"/>
  <c r="M19" i="4" s="1"/>
  <c r="O19" i="4" s="1"/>
  <c r="P19" i="4" s="1"/>
  <c r="AJ18" i="4"/>
  <c r="AB18" i="4"/>
  <c r="AF18" i="4" s="1"/>
  <c r="Y18" i="4"/>
  <c r="I18" i="4"/>
  <c r="K18" i="4" s="1"/>
  <c r="M18" i="4" s="1"/>
  <c r="O18" i="4" s="1"/>
  <c r="P18" i="4" s="1"/>
  <c r="AJ9" i="4"/>
  <c r="AB9" i="4"/>
  <c r="AF9" i="4" s="1"/>
  <c r="Y9" i="4"/>
  <c r="I9" i="4"/>
  <c r="K9" i="4" s="1"/>
  <c r="M9" i="4" s="1"/>
  <c r="O9" i="4" s="1"/>
  <c r="P9" i="4" s="1"/>
  <c r="AJ8" i="4"/>
  <c r="AB8" i="4"/>
  <c r="AF8" i="4" s="1"/>
  <c r="Y8" i="4"/>
  <c r="I8" i="4"/>
  <c r="K8" i="4" s="1"/>
  <c r="M8" i="4" s="1"/>
  <c r="O8" i="4" s="1"/>
  <c r="P8" i="4" s="1"/>
  <c r="AJ7" i="4"/>
  <c r="AB7" i="4"/>
  <c r="AF7" i="4" s="1"/>
  <c r="Y7" i="4"/>
  <c r="I7" i="4"/>
  <c r="K7" i="4" s="1"/>
  <c r="M7" i="4" s="1"/>
  <c r="O7" i="4" s="1"/>
  <c r="P7" i="4" s="1"/>
  <c r="AJ6" i="4"/>
  <c r="AB6" i="4"/>
  <c r="AF6" i="4" s="1"/>
  <c r="Y6" i="4"/>
  <c r="I6" i="4"/>
  <c r="K6" i="4" s="1"/>
  <c r="M6" i="4" s="1"/>
  <c r="O6" i="4" s="1"/>
  <c r="P6" i="4" s="1"/>
  <c r="AJ5" i="4"/>
  <c r="AB5" i="4"/>
  <c r="AF5" i="4" s="1"/>
  <c r="Y5" i="4"/>
  <c r="I5" i="4"/>
  <c r="K5" i="4" s="1"/>
  <c r="M5" i="4" s="1"/>
  <c r="O5" i="4" s="1"/>
  <c r="P5" i="4" s="1"/>
  <c r="I155" i="4"/>
  <c r="K155" i="4" s="1"/>
  <c r="M155" i="4" s="1"/>
  <c r="O155" i="4" s="1"/>
  <c r="P155" i="4" s="1"/>
  <c r="I154" i="4"/>
  <c r="I153" i="4"/>
  <c r="K153" i="4" s="1"/>
  <c r="M153" i="4" s="1"/>
  <c r="O153" i="4" s="1"/>
  <c r="P153" i="4" s="1"/>
  <c r="I147" i="4"/>
  <c r="K147" i="4" s="1"/>
  <c r="M147" i="4" s="1"/>
  <c r="O147" i="4" s="1"/>
  <c r="P147" i="4" s="1"/>
  <c r="I146" i="4"/>
  <c r="K146" i="4" s="1"/>
  <c r="I142" i="4"/>
  <c r="K142" i="4" s="1"/>
  <c r="M142" i="4" s="1"/>
  <c r="O142" i="4" s="1"/>
  <c r="P142" i="4" s="1"/>
  <c r="I141" i="4"/>
  <c r="K141" i="4" s="1"/>
  <c r="M141" i="4" s="1"/>
  <c r="O141" i="4" s="1"/>
  <c r="P141" i="4" s="1"/>
  <c r="I140" i="4"/>
  <c r="K140" i="4" s="1"/>
  <c r="M140" i="4" s="1"/>
  <c r="O140" i="4" s="1"/>
  <c r="P140" i="4" s="1"/>
  <c r="I134" i="4"/>
  <c r="K134" i="4" s="1"/>
  <c r="M134" i="4" s="1"/>
  <c r="O134" i="4" s="1"/>
  <c r="P134" i="4" s="1"/>
  <c r="I133" i="4"/>
  <c r="K133" i="4" s="1"/>
  <c r="I129" i="4"/>
  <c r="K129" i="4" s="1"/>
  <c r="M129" i="4" s="1"/>
  <c r="O129" i="4" s="1"/>
  <c r="P129" i="4" s="1"/>
  <c r="I128" i="4"/>
  <c r="K128" i="4" s="1"/>
  <c r="I127" i="4"/>
  <c r="K127" i="4" s="1"/>
  <c r="M127" i="4" s="1"/>
  <c r="O127" i="4" s="1"/>
  <c r="P127" i="4" s="1"/>
  <c r="I121" i="4"/>
  <c r="K121" i="4" s="1"/>
  <c r="M121" i="4" s="1"/>
  <c r="O121" i="4" s="1"/>
  <c r="P121" i="4" s="1"/>
  <c r="I120" i="4"/>
  <c r="K120" i="4" s="1"/>
  <c r="M120" i="4" s="1"/>
  <c r="I116" i="4"/>
  <c r="K116" i="4" s="1"/>
  <c r="M116" i="4" s="1"/>
  <c r="O116" i="4" s="1"/>
  <c r="P116" i="4" s="1"/>
  <c r="I115" i="4"/>
  <c r="K115" i="4" s="1"/>
  <c r="M115" i="4" s="1"/>
  <c r="O115" i="4" s="1"/>
  <c r="P115" i="4" s="1"/>
  <c r="I114" i="4"/>
  <c r="K114" i="4" s="1"/>
  <c r="M114" i="4" s="1"/>
  <c r="O114" i="4" s="1"/>
  <c r="P114" i="4" s="1"/>
  <c r="I108" i="4"/>
  <c r="K108" i="4" s="1"/>
  <c r="M108" i="4" s="1"/>
  <c r="I107" i="4"/>
  <c r="K107" i="4" s="1"/>
  <c r="M107" i="4" s="1"/>
  <c r="O107" i="4" s="1"/>
  <c r="P107" i="4" s="1"/>
  <c r="I103" i="4"/>
  <c r="K103" i="4" s="1"/>
  <c r="M103" i="4" s="1"/>
  <c r="O103" i="4" s="1"/>
  <c r="P103" i="4" s="1"/>
  <c r="I102" i="4"/>
  <c r="K102" i="4" s="1"/>
  <c r="M102" i="4" s="1"/>
  <c r="O102" i="4" s="1"/>
  <c r="P102" i="4" s="1"/>
  <c r="AM102" i="4" s="1"/>
  <c r="I101" i="4"/>
  <c r="K101" i="4" s="1"/>
  <c r="M101" i="4" s="1"/>
  <c r="O101" i="4" s="1"/>
  <c r="P101" i="4" s="1"/>
  <c r="I95" i="4"/>
  <c r="K95" i="4" s="1"/>
  <c r="M95" i="4" s="1"/>
  <c r="O95" i="4" s="1"/>
  <c r="P95" i="4" s="1"/>
  <c r="I94" i="4"/>
  <c r="K94" i="4" s="1"/>
  <c r="M94" i="4" s="1"/>
  <c r="O94" i="4" s="1"/>
  <c r="P94" i="4" s="1"/>
  <c r="I77" i="4"/>
  <c r="K77" i="4" s="1"/>
  <c r="M77" i="4" s="1"/>
  <c r="O77" i="4" s="1"/>
  <c r="P77" i="4" s="1"/>
  <c r="I76" i="4"/>
  <c r="K76" i="4" s="1"/>
  <c r="M76" i="4" s="1"/>
  <c r="O76" i="4" s="1"/>
  <c r="P76" i="4" s="1"/>
  <c r="I75" i="4"/>
  <c r="K75" i="4" s="1"/>
  <c r="M75" i="4" s="1"/>
  <c r="O75" i="4" s="1"/>
  <c r="P75" i="4" s="1"/>
  <c r="I69" i="4"/>
  <c r="K69" i="4" s="1"/>
  <c r="M69" i="4" s="1"/>
  <c r="O69" i="4" s="1"/>
  <c r="P69" i="4" s="1"/>
  <c r="I68" i="4"/>
  <c r="I64" i="4"/>
  <c r="K64" i="4" s="1"/>
  <c r="M64" i="4" s="1"/>
  <c r="O64" i="4" s="1"/>
  <c r="P64" i="4" s="1"/>
  <c r="I63" i="4"/>
  <c r="K63" i="4" s="1"/>
  <c r="M63" i="4" s="1"/>
  <c r="O63" i="4" s="1"/>
  <c r="P63" i="4" s="1"/>
  <c r="I62" i="4"/>
  <c r="K62" i="4" s="1"/>
  <c r="M62" i="4" s="1"/>
  <c r="O62" i="4" s="1"/>
  <c r="P62" i="4" s="1"/>
  <c r="I56" i="4"/>
  <c r="K56" i="4" s="1"/>
  <c r="M56" i="4" s="1"/>
  <c r="O56" i="4" s="1"/>
  <c r="P56" i="4" s="1"/>
  <c r="I55" i="4"/>
  <c r="K55" i="4" s="1"/>
  <c r="M55" i="4" s="1"/>
  <c r="O55" i="4" s="1"/>
  <c r="P55" i="4" s="1"/>
  <c r="I38" i="4"/>
  <c r="K38" i="4" s="1"/>
  <c r="M38" i="4" s="1"/>
  <c r="I37" i="4"/>
  <c r="K37" i="4" s="1"/>
  <c r="M37" i="4" s="1"/>
  <c r="I36" i="4"/>
  <c r="K36" i="4" s="1"/>
  <c r="M36" i="4" s="1"/>
  <c r="O36" i="4" s="1"/>
  <c r="P36" i="4" s="1"/>
  <c r="I30" i="4"/>
  <c r="K30" i="4" s="1"/>
  <c r="M30" i="4" s="1"/>
  <c r="O30" i="4" s="1"/>
  <c r="P30" i="4" s="1"/>
  <c r="I29" i="4"/>
  <c r="I25" i="4"/>
  <c r="K25" i="4" s="1"/>
  <c r="M25" i="4" s="1"/>
  <c r="O25" i="4" s="1"/>
  <c r="P25" i="4" s="1"/>
  <c r="I24" i="4"/>
  <c r="K24" i="4" s="1"/>
  <c r="I23" i="4"/>
  <c r="K23" i="4" s="1"/>
  <c r="M23" i="4" s="1"/>
  <c r="O23" i="4" s="1"/>
  <c r="P23" i="4" s="1"/>
  <c r="I17" i="4"/>
  <c r="K17" i="4" s="1"/>
  <c r="I16" i="4"/>
  <c r="K16" i="4" s="1"/>
  <c r="I4" i="4"/>
  <c r="K4" i="4" s="1"/>
  <c r="I10" i="4"/>
  <c r="K10" i="4" s="1"/>
  <c r="M10" i="4" s="1"/>
  <c r="O10" i="4" s="1"/>
  <c r="P10" i="4" s="1"/>
  <c r="I11" i="4"/>
  <c r="K11" i="4" s="1"/>
  <c r="M11" i="4" s="1"/>
  <c r="O11" i="4" s="1"/>
  <c r="P11" i="4" s="1"/>
  <c r="I12" i="4"/>
  <c r="K12" i="4" s="1"/>
  <c r="M12" i="4" s="1"/>
  <c r="O12" i="4" s="1"/>
  <c r="P12" i="4" s="1"/>
  <c r="I3" i="4"/>
  <c r="AK156" i="4"/>
  <c r="AJ155" i="4"/>
  <c r="Y155" i="4"/>
  <c r="AB155" i="4"/>
  <c r="AF155" i="4" s="1"/>
  <c r="AJ154" i="4"/>
  <c r="Y154" i="4"/>
  <c r="AB154" i="4"/>
  <c r="AF154" i="4" s="1"/>
  <c r="AJ153" i="4"/>
  <c r="Y153" i="4"/>
  <c r="AB153" i="4"/>
  <c r="AF153" i="4" s="1"/>
  <c r="AJ147" i="4"/>
  <c r="Y147" i="4"/>
  <c r="AB147" i="4"/>
  <c r="AF147" i="4" s="1"/>
  <c r="AJ146" i="4"/>
  <c r="Y146" i="4"/>
  <c r="S156" i="4"/>
  <c r="AK143" i="4"/>
  <c r="S143" i="4"/>
  <c r="AJ142" i="4"/>
  <c r="Y142" i="4"/>
  <c r="AB142" i="4"/>
  <c r="AF142" i="4" s="1"/>
  <c r="AJ141" i="4"/>
  <c r="Y141" i="4"/>
  <c r="AB141" i="4"/>
  <c r="AF141" i="4" s="1"/>
  <c r="AJ140" i="4"/>
  <c r="Y140" i="4"/>
  <c r="AB140" i="4"/>
  <c r="AF140" i="4" s="1"/>
  <c r="AJ134" i="4"/>
  <c r="Y134" i="4"/>
  <c r="AB134" i="4"/>
  <c r="AF134" i="4" s="1"/>
  <c r="AJ133" i="4"/>
  <c r="Y133" i="4"/>
  <c r="AB133" i="4"/>
  <c r="AO130" i="4"/>
  <c r="AN130" i="4" s="1"/>
  <c r="AK130" i="4"/>
  <c r="S130" i="4"/>
  <c r="AJ129" i="4"/>
  <c r="Y129" i="4"/>
  <c r="AB129" i="4"/>
  <c r="AF129" i="4" s="1"/>
  <c r="AJ128" i="4"/>
  <c r="AB128" i="4"/>
  <c r="AF128" i="4" s="1"/>
  <c r="Y128" i="4"/>
  <c r="AJ127" i="4"/>
  <c r="Y127" i="4"/>
  <c r="AB127" i="4"/>
  <c r="AF127" i="4" s="1"/>
  <c r="AJ121" i="4"/>
  <c r="Y121" i="4"/>
  <c r="AB121" i="4"/>
  <c r="AF121" i="4" s="1"/>
  <c r="AJ120" i="4"/>
  <c r="Y120" i="4"/>
  <c r="AB120" i="4"/>
  <c r="AK117" i="4"/>
  <c r="AJ116" i="4"/>
  <c r="Y116" i="4"/>
  <c r="AB116" i="4"/>
  <c r="AF116" i="4" s="1"/>
  <c r="AJ115" i="4"/>
  <c r="Y115" i="4"/>
  <c r="AB115" i="4"/>
  <c r="AF115" i="4" s="1"/>
  <c r="AJ114" i="4"/>
  <c r="Y114" i="4"/>
  <c r="AB114" i="4"/>
  <c r="AF114" i="4" s="1"/>
  <c r="AJ108" i="4"/>
  <c r="Y108" i="4"/>
  <c r="AB108" i="4"/>
  <c r="AF108" i="4" s="1"/>
  <c r="AJ107" i="4"/>
  <c r="Y107" i="4"/>
  <c r="AB107" i="4"/>
  <c r="AO104" i="4"/>
  <c r="AN104" i="4" s="1"/>
  <c r="AK104" i="4"/>
  <c r="AJ103" i="4"/>
  <c r="Y103" i="4"/>
  <c r="AB103" i="4"/>
  <c r="AF103" i="4" s="1"/>
  <c r="AJ102" i="4"/>
  <c r="Y102" i="4"/>
  <c r="AB102" i="4"/>
  <c r="AF102" i="4" s="1"/>
  <c r="AJ101" i="4"/>
  <c r="Y101" i="4"/>
  <c r="AB101" i="4"/>
  <c r="AF101" i="4" s="1"/>
  <c r="AJ95" i="4"/>
  <c r="Y95" i="4"/>
  <c r="AB95" i="4"/>
  <c r="AF95" i="4" s="1"/>
  <c r="AJ94" i="4"/>
  <c r="Y94" i="4"/>
  <c r="AO91" i="4"/>
  <c r="AN91" i="4" s="1"/>
  <c r="AK91" i="4"/>
  <c r="AJ90" i="4"/>
  <c r="Y90" i="4"/>
  <c r="AJ89" i="4"/>
  <c r="Y89" i="4"/>
  <c r="AJ88" i="4"/>
  <c r="Y88" i="4"/>
  <c r="AJ82" i="4"/>
  <c r="Y82" i="4"/>
  <c r="AJ81" i="4"/>
  <c r="Y81" i="4"/>
  <c r="AK78" i="4"/>
  <c r="AJ77" i="4"/>
  <c r="Y77" i="4"/>
  <c r="AB77" i="4"/>
  <c r="AF77" i="4" s="1"/>
  <c r="AJ76" i="4"/>
  <c r="Y76" i="4"/>
  <c r="AB76" i="4"/>
  <c r="AF76" i="4" s="1"/>
  <c r="AJ75" i="4"/>
  <c r="Y75" i="4"/>
  <c r="AB75" i="4"/>
  <c r="AF75" i="4" s="1"/>
  <c r="AJ69" i="4"/>
  <c r="Y69" i="4"/>
  <c r="AB69" i="4"/>
  <c r="AF69" i="4" s="1"/>
  <c r="AJ68" i="4"/>
  <c r="Y68" i="4"/>
  <c r="AK65" i="4"/>
  <c r="AJ64" i="4"/>
  <c r="Y64" i="4"/>
  <c r="AB64" i="4"/>
  <c r="AF64" i="4" s="1"/>
  <c r="AJ63" i="4"/>
  <c r="Y63" i="4"/>
  <c r="AB63" i="4"/>
  <c r="AF63" i="4" s="1"/>
  <c r="AJ62" i="4"/>
  <c r="Y62" i="4"/>
  <c r="AB62" i="4"/>
  <c r="AF62" i="4" s="1"/>
  <c r="AJ56" i="4"/>
  <c r="Y56" i="4"/>
  <c r="AB56" i="4"/>
  <c r="AF56" i="4" s="1"/>
  <c r="AJ55" i="4"/>
  <c r="Y55" i="4"/>
  <c r="AB55" i="4"/>
  <c r="AF55" i="4" s="1"/>
  <c r="AO52" i="4"/>
  <c r="AN52" i="4" s="1"/>
  <c r="AK52" i="4"/>
  <c r="AJ51" i="4"/>
  <c r="Y51" i="4"/>
  <c r="AJ50" i="4"/>
  <c r="Y50" i="4"/>
  <c r="AJ49" i="4"/>
  <c r="Y49" i="4"/>
  <c r="AJ48" i="4"/>
  <c r="Y48" i="4"/>
  <c r="AJ42" i="4"/>
  <c r="Y42" i="4"/>
  <c r="AK39" i="4"/>
  <c r="S39" i="4"/>
  <c r="AJ38" i="4"/>
  <c r="Y38" i="4"/>
  <c r="AB38" i="4"/>
  <c r="AJ37" i="4"/>
  <c r="Y37" i="4"/>
  <c r="AB37" i="4"/>
  <c r="AF37" i="4" s="1"/>
  <c r="AJ36" i="4"/>
  <c r="Y36" i="4"/>
  <c r="AB36" i="4"/>
  <c r="AJ30" i="4"/>
  <c r="Y30" i="4"/>
  <c r="AB30" i="4"/>
  <c r="AJ29" i="4"/>
  <c r="Y29" i="4"/>
  <c r="AB29" i="4"/>
  <c r="AK26" i="4"/>
  <c r="AJ25" i="4"/>
  <c r="Y25" i="4"/>
  <c r="AB25" i="4"/>
  <c r="AF25" i="4" s="1"/>
  <c r="AJ24" i="4"/>
  <c r="AB24" i="4"/>
  <c r="AF24" i="4" s="1"/>
  <c r="Y24" i="4"/>
  <c r="AJ23" i="4"/>
  <c r="Y23" i="4"/>
  <c r="AB23" i="4"/>
  <c r="AF23" i="4" s="1"/>
  <c r="AJ17" i="4"/>
  <c r="Y17" i="4"/>
  <c r="AB17" i="4"/>
  <c r="AF17" i="4" s="1"/>
  <c r="AJ16" i="4"/>
  <c r="Y16" i="4"/>
  <c r="AO13" i="4"/>
  <c r="AK13" i="4"/>
  <c r="AJ12" i="4"/>
  <c r="Y12" i="4"/>
  <c r="AJ11" i="4"/>
  <c r="Y11" i="4"/>
  <c r="AB11" i="4"/>
  <c r="AJ10" i="4"/>
  <c r="Y10" i="4"/>
  <c r="AB10" i="4"/>
  <c r="AF10" i="4" s="1"/>
  <c r="AJ4" i="4"/>
  <c r="Y4" i="4"/>
  <c r="AJ3" i="4"/>
  <c r="Y3" i="4"/>
  <c r="K3" i="4"/>
  <c r="M3" i="4" s="1"/>
  <c r="O3" i="4" s="1"/>
  <c r="P3" i="4" s="1"/>
  <c r="BG12" i="3"/>
  <c r="BD12" i="3"/>
  <c r="BA12" i="3"/>
  <c r="AK12" i="3"/>
  <c r="AL12" i="3" s="1"/>
  <c r="AH12" i="3"/>
  <c r="BG11" i="3"/>
  <c r="BD11" i="3"/>
  <c r="BA11" i="3"/>
  <c r="AK11" i="3"/>
  <c r="AL11" i="3" s="1"/>
  <c r="AH11" i="3"/>
  <c r="BG10" i="3"/>
  <c r="BD10" i="3"/>
  <c r="BA10" i="3"/>
  <c r="AK10" i="3"/>
  <c r="AL10" i="3" s="1"/>
  <c r="AH10" i="3"/>
  <c r="BG4" i="3"/>
  <c r="BD4" i="3"/>
  <c r="BA4" i="3"/>
  <c r="AK4" i="3"/>
  <c r="AL4" i="3" s="1"/>
  <c r="AH4" i="3"/>
  <c r="BG3" i="3"/>
  <c r="BD3" i="3"/>
  <c r="BA3" i="3"/>
  <c r="AL3" i="3"/>
  <c r="AH3" i="3"/>
  <c r="BB7" i="3" l="1"/>
  <c r="AJ9" i="3"/>
  <c r="AV8" i="3"/>
  <c r="AJ7" i="3"/>
  <c r="AW7" i="3"/>
  <c r="AX13" i="3"/>
  <c r="AW13" i="3" s="1"/>
  <c r="AI6" i="3"/>
  <c r="AA9" i="3"/>
  <c r="AZ8" i="3"/>
  <c r="AA7" i="3"/>
  <c r="AG8" i="3"/>
  <c r="AI7" i="3"/>
  <c r="Z13" i="3"/>
  <c r="C15" i="3" s="1"/>
  <c r="AG9" i="3"/>
  <c r="AN9" i="3"/>
  <c r="AR9" i="3"/>
  <c r="BF8" i="3"/>
  <c r="AZ9" i="3"/>
  <c r="BC9" i="3"/>
  <c r="BF5" i="3"/>
  <c r="BF9" i="3"/>
  <c r="Y8" i="3"/>
  <c r="U9" i="3"/>
  <c r="X13" i="3"/>
  <c r="U13" i="3" s="1"/>
  <c r="AJ6" i="3"/>
  <c r="AT6" i="3"/>
  <c r="BB6" i="3"/>
  <c r="AG7" i="3"/>
  <c r="AP7" i="3"/>
  <c r="BH7" i="3"/>
  <c r="AI9" i="3"/>
  <c r="AV5" i="3"/>
  <c r="Y5" i="3"/>
  <c r="AP8" i="3"/>
  <c r="BH8" i="3"/>
  <c r="AI5" i="3"/>
  <c r="AV6" i="3"/>
  <c r="BC7" i="3"/>
  <c r="AP5" i="3"/>
  <c r="AJ5" i="3"/>
  <c r="AT5" i="3"/>
  <c r="BB5" i="3"/>
  <c r="AP6" i="3"/>
  <c r="AI8" i="3"/>
  <c r="AV9" i="3"/>
  <c r="AJ8" i="3"/>
  <c r="AT8" i="3"/>
  <c r="AP9" i="3"/>
  <c r="BD13" i="3"/>
  <c r="AM149" i="4"/>
  <c r="W149" i="4"/>
  <c r="AK149" i="4"/>
  <c r="V149" i="4"/>
  <c r="Q149" i="4"/>
  <c r="AG149" i="4"/>
  <c r="AC149" i="4"/>
  <c r="AM151" i="4"/>
  <c r="W151" i="4"/>
  <c r="Q151" i="4"/>
  <c r="AK151" i="4"/>
  <c r="V151" i="4"/>
  <c r="AG151" i="4"/>
  <c r="AC151" i="4"/>
  <c r="AM148" i="4"/>
  <c r="W148" i="4"/>
  <c r="AK148" i="4"/>
  <c r="V148" i="4"/>
  <c r="Q148" i="4"/>
  <c r="AG148" i="4"/>
  <c r="AC148" i="4"/>
  <c r="AM150" i="4"/>
  <c r="W150" i="4"/>
  <c r="Q150" i="4"/>
  <c r="AK150" i="4"/>
  <c r="V150" i="4"/>
  <c r="AG150" i="4"/>
  <c r="AC150" i="4"/>
  <c r="AM152" i="4"/>
  <c r="W152" i="4"/>
  <c r="AK152" i="4"/>
  <c r="V152" i="4"/>
  <c r="Q152" i="4"/>
  <c r="AG152" i="4"/>
  <c r="AC152" i="4"/>
  <c r="AM136" i="4"/>
  <c r="W136" i="4"/>
  <c r="AK136" i="4"/>
  <c r="V136" i="4"/>
  <c r="AG136" i="4"/>
  <c r="AC136" i="4"/>
  <c r="AM138" i="4"/>
  <c r="W138" i="4"/>
  <c r="AK138" i="4"/>
  <c r="V138" i="4"/>
  <c r="AG138" i="4"/>
  <c r="AC138" i="4"/>
  <c r="AM137" i="4"/>
  <c r="W137" i="4"/>
  <c r="AK137" i="4"/>
  <c r="V137" i="4"/>
  <c r="AG137" i="4"/>
  <c r="AC137" i="4"/>
  <c r="AM139" i="4"/>
  <c r="W139" i="4"/>
  <c r="AK139" i="4"/>
  <c r="V139" i="4"/>
  <c r="AG139" i="4"/>
  <c r="AC139" i="4"/>
  <c r="AM135" i="4"/>
  <c r="W135" i="4"/>
  <c r="AK135" i="4"/>
  <c r="V135" i="4"/>
  <c r="AG135" i="4"/>
  <c r="AC135" i="4"/>
  <c r="AM125" i="4"/>
  <c r="W125" i="4"/>
  <c r="AK125" i="4"/>
  <c r="V125" i="4"/>
  <c r="AC125" i="4"/>
  <c r="AG125" i="4"/>
  <c r="AM124" i="4"/>
  <c r="W124" i="4"/>
  <c r="AK124" i="4"/>
  <c r="V124" i="4"/>
  <c r="AC124" i="4"/>
  <c r="AG124" i="4"/>
  <c r="AM123" i="4"/>
  <c r="W123" i="4"/>
  <c r="AK123" i="4"/>
  <c r="V123" i="4"/>
  <c r="AC123" i="4"/>
  <c r="AG123" i="4"/>
  <c r="AM126" i="4"/>
  <c r="W126" i="4"/>
  <c r="AK126" i="4"/>
  <c r="V126" i="4"/>
  <c r="AC126" i="4"/>
  <c r="AG126" i="4"/>
  <c r="AM122" i="4"/>
  <c r="W122" i="4"/>
  <c r="AK122" i="4"/>
  <c r="V122" i="4"/>
  <c r="AG122" i="4"/>
  <c r="AC122" i="4"/>
  <c r="AM112" i="4"/>
  <c r="W112" i="4"/>
  <c r="AK112" i="4"/>
  <c r="V112" i="4"/>
  <c r="AC112" i="4"/>
  <c r="AG112" i="4"/>
  <c r="AM111" i="4"/>
  <c r="W111" i="4"/>
  <c r="AK111" i="4"/>
  <c r="V111" i="4"/>
  <c r="AC111" i="4"/>
  <c r="AG111" i="4"/>
  <c r="AM113" i="4"/>
  <c r="W113" i="4"/>
  <c r="AK113" i="4"/>
  <c r="V113" i="4"/>
  <c r="AG113" i="4"/>
  <c r="AC113" i="4"/>
  <c r="AM109" i="4"/>
  <c r="W109" i="4"/>
  <c r="AK109" i="4"/>
  <c r="V109" i="4"/>
  <c r="AG109" i="4"/>
  <c r="AC109" i="4"/>
  <c r="AM110" i="4"/>
  <c r="W110" i="4"/>
  <c r="AK110" i="4"/>
  <c r="V110" i="4"/>
  <c r="AG110" i="4"/>
  <c r="AC110" i="4"/>
  <c r="AM99" i="4"/>
  <c r="W99" i="4"/>
  <c r="AK99" i="4"/>
  <c r="V99" i="4"/>
  <c r="AG99" i="4"/>
  <c r="AC99" i="4"/>
  <c r="AM96" i="4"/>
  <c r="W96" i="4"/>
  <c r="AK96" i="4"/>
  <c r="V96" i="4"/>
  <c r="AC96" i="4"/>
  <c r="AG96" i="4"/>
  <c r="AM100" i="4"/>
  <c r="W100" i="4"/>
  <c r="AK100" i="4"/>
  <c r="V100" i="4"/>
  <c r="AG100" i="4"/>
  <c r="AC100" i="4"/>
  <c r="AM97" i="4"/>
  <c r="W97" i="4"/>
  <c r="AC97" i="4"/>
  <c r="AK97" i="4"/>
  <c r="V97" i="4"/>
  <c r="AG97" i="4"/>
  <c r="AM98" i="4"/>
  <c r="W98" i="4"/>
  <c r="AK98" i="4"/>
  <c r="V98" i="4"/>
  <c r="AC98" i="4"/>
  <c r="AG98" i="4"/>
  <c r="AK85" i="4"/>
  <c r="V85" i="4"/>
  <c r="AM85" i="4"/>
  <c r="AG85" i="4"/>
  <c r="AC85" i="4"/>
  <c r="W85" i="4"/>
  <c r="AK87" i="4"/>
  <c r="V87" i="4"/>
  <c r="AM87" i="4"/>
  <c r="AG87" i="4"/>
  <c r="AC87" i="4"/>
  <c r="W87" i="4"/>
  <c r="AK84" i="4"/>
  <c r="V84" i="4"/>
  <c r="W84" i="4"/>
  <c r="AG84" i="4"/>
  <c r="AC84" i="4"/>
  <c r="AM84" i="4"/>
  <c r="AK86" i="4"/>
  <c r="V86" i="4"/>
  <c r="AG86" i="4"/>
  <c r="W86" i="4"/>
  <c r="AC86" i="4"/>
  <c r="AM86" i="4"/>
  <c r="AK83" i="4"/>
  <c r="V83" i="4"/>
  <c r="AG83" i="4"/>
  <c r="AC83" i="4"/>
  <c r="AM83" i="4"/>
  <c r="W83" i="4"/>
  <c r="AM74" i="4"/>
  <c r="W74" i="4"/>
  <c r="AK74" i="4"/>
  <c r="V74" i="4"/>
  <c r="AC74" i="4"/>
  <c r="AG74" i="4"/>
  <c r="AM72" i="4"/>
  <c r="W72" i="4"/>
  <c r="AK72" i="4"/>
  <c r="V72" i="4"/>
  <c r="AG72" i="4"/>
  <c r="AC72" i="4"/>
  <c r="AM73" i="4"/>
  <c r="W73" i="4"/>
  <c r="AK73" i="4"/>
  <c r="V73" i="4"/>
  <c r="AG73" i="4"/>
  <c r="AC73" i="4"/>
  <c r="AM70" i="4"/>
  <c r="W70" i="4"/>
  <c r="AK70" i="4"/>
  <c r="V70" i="4"/>
  <c r="AC70" i="4"/>
  <c r="AG70" i="4"/>
  <c r="AM71" i="4"/>
  <c r="W71" i="4"/>
  <c r="AK71" i="4"/>
  <c r="V71" i="4"/>
  <c r="AC71" i="4"/>
  <c r="AG71" i="4"/>
  <c r="AF65" i="4"/>
  <c r="AM57" i="4"/>
  <c r="W57" i="4"/>
  <c r="AK57" i="4"/>
  <c r="V57" i="4"/>
  <c r="AG57" i="4"/>
  <c r="AC57" i="4"/>
  <c r="AM59" i="4"/>
  <c r="W59" i="4"/>
  <c r="AK59" i="4"/>
  <c r="V59" i="4"/>
  <c r="AG59" i="4"/>
  <c r="AC59" i="4"/>
  <c r="AM60" i="4"/>
  <c r="W60" i="4"/>
  <c r="AK60" i="4"/>
  <c r="V60" i="4"/>
  <c r="AG60" i="4"/>
  <c r="AC60" i="4"/>
  <c r="AM61" i="4"/>
  <c r="W61" i="4"/>
  <c r="AK61" i="4"/>
  <c r="V61" i="4"/>
  <c r="AG61" i="4"/>
  <c r="AC61" i="4"/>
  <c r="AM58" i="4"/>
  <c r="W58" i="4"/>
  <c r="AK58" i="4"/>
  <c r="V58" i="4"/>
  <c r="AG58" i="4"/>
  <c r="AC58" i="4"/>
  <c r="AM43" i="4"/>
  <c r="W43" i="4"/>
  <c r="AK43" i="4"/>
  <c r="V43" i="4"/>
  <c r="AC43" i="4"/>
  <c r="AG43" i="4"/>
  <c r="AM45" i="4"/>
  <c r="W45" i="4"/>
  <c r="AC45" i="4"/>
  <c r="AK45" i="4"/>
  <c r="V45" i="4"/>
  <c r="AG45" i="4"/>
  <c r="AM47" i="4"/>
  <c r="W47" i="4"/>
  <c r="AC47" i="4"/>
  <c r="AK47" i="4"/>
  <c r="V47" i="4"/>
  <c r="AG47" i="4"/>
  <c r="AM46" i="4"/>
  <c r="W46" i="4"/>
  <c r="AK46" i="4"/>
  <c r="V46" i="4"/>
  <c r="AC46" i="4"/>
  <c r="AG46" i="4"/>
  <c r="AM44" i="4"/>
  <c r="W44" i="4"/>
  <c r="AC44" i="4"/>
  <c r="AK44" i="4"/>
  <c r="V44" i="4"/>
  <c r="AG44" i="4"/>
  <c r="AM31" i="4"/>
  <c r="W31" i="4"/>
  <c r="AK31" i="4"/>
  <c r="V31" i="4"/>
  <c r="AG31" i="4"/>
  <c r="AC31" i="4"/>
  <c r="AM33" i="4"/>
  <c r="W33" i="4"/>
  <c r="AK33" i="4"/>
  <c r="V33" i="4"/>
  <c r="AG33" i="4"/>
  <c r="AC33" i="4"/>
  <c r="AM35" i="4"/>
  <c r="W35" i="4"/>
  <c r="AK35" i="4"/>
  <c r="V35" i="4"/>
  <c r="AG35" i="4"/>
  <c r="AC35" i="4"/>
  <c r="AM32" i="4"/>
  <c r="W32" i="4"/>
  <c r="AC32" i="4"/>
  <c r="AK32" i="4"/>
  <c r="V32" i="4"/>
  <c r="AG32" i="4"/>
  <c r="AM34" i="4"/>
  <c r="W34" i="4"/>
  <c r="AK34" i="4"/>
  <c r="V34" i="4"/>
  <c r="AG34" i="4"/>
  <c r="AC34" i="4"/>
  <c r="AM19" i="4"/>
  <c r="W19" i="4"/>
  <c r="AK19" i="4"/>
  <c r="V19" i="4"/>
  <c r="AG19" i="4"/>
  <c r="AC19" i="4"/>
  <c r="AM21" i="4"/>
  <c r="W21" i="4"/>
  <c r="AK21" i="4"/>
  <c r="V21" i="4"/>
  <c r="AG21" i="4"/>
  <c r="AC21" i="4"/>
  <c r="AM18" i="4"/>
  <c r="W18" i="4"/>
  <c r="AK18" i="4"/>
  <c r="V18" i="4"/>
  <c r="AG18" i="4"/>
  <c r="AC18" i="4"/>
  <c r="AM20" i="4"/>
  <c r="W20" i="4"/>
  <c r="AK20" i="4"/>
  <c r="V20" i="4"/>
  <c r="AG20" i="4"/>
  <c r="AC20" i="4"/>
  <c r="AM22" i="4"/>
  <c r="W22" i="4"/>
  <c r="AK22" i="4"/>
  <c r="V22" i="4"/>
  <c r="AG22" i="4"/>
  <c r="AC22" i="4"/>
  <c r="AM9" i="4"/>
  <c r="W9" i="4"/>
  <c r="AK9" i="4"/>
  <c r="V9" i="4"/>
  <c r="AG9" i="4"/>
  <c r="AC9" i="4"/>
  <c r="AM7" i="4"/>
  <c r="W7" i="4"/>
  <c r="AK7" i="4"/>
  <c r="V7" i="4"/>
  <c r="AC7" i="4"/>
  <c r="AG7" i="4"/>
  <c r="AM6" i="4"/>
  <c r="W6" i="4"/>
  <c r="AK6" i="4"/>
  <c r="V6" i="4"/>
  <c r="AG6" i="4"/>
  <c r="AC6" i="4"/>
  <c r="AM8" i="4"/>
  <c r="W8" i="4"/>
  <c r="AK8" i="4"/>
  <c r="V8" i="4"/>
  <c r="AG8" i="4"/>
  <c r="AC8" i="4"/>
  <c r="AM5" i="4"/>
  <c r="W5" i="4"/>
  <c r="AC5" i="4"/>
  <c r="AK5" i="4"/>
  <c r="V5" i="4"/>
  <c r="AG5" i="4"/>
  <c r="I78" i="4"/>
  <c r="I130" i="4"/>
  <c r="K130" i="4"/>
  <c r="I65" i="4"/>
  <c r="K68" i="4"/>
  <c r="M68" i="4" s="1"/>
  <c r="O68" i="4" s="1"/>
  <c r="P68" i="4" s="1"/>
  <c r="I13" i="4"/>
  <c r="I156" i="4"/>
  <c r="I104" i="4"/>
  <c r="I143" i="4"/>
  <c r="K154" i="4"/>
  <c r="M154" i="4" s="1"/>
  <c r="O154" i="4" s="1"/>
  <c r="P154" i="4" s="1"/>
  <c r="V154" i="4" s="1"/>
  <c r="I26" i="4"/>
  <c r="I39" i="4"/>
  <c r="I117" i="4"/>
  <c r="M146" i="4"/>
  <c r="M133" i="4"/>
  <c r="K143" i="4"/>
  <c r="O120" i="4"/>
  <c r="P120" i="4" s="1"/>
  <c r="M128" i="4"/>
  <c r="O128" i="4" s="1"/>
  <c r="P128" i="4" s="1"/>
  <c r="AK128" i="4" s="1"/>
  <c r="O108" i="4"/>
  <c r="P108" i="4" s="1"/>
  <c r="V108" i="4" s="1"/>
  <c r="M117" i="4"/>
  <c r="K117" i="4"/>
  <c r="W101" i="4"/>
  <c r="AM101" i="4"/>
  <c r="K104" i="4"/>
  <c r="M104" i="4"/>
  <c r="K65" i="4"/>
  <c r="M65" i="4"/>
  <c r="K29" i="4"/>
  <c r="M16" i="4"/>
  <c r="K26" i="4"/>
  <c r="M24" i="4"/>
  <c r="O24" i="4" s="1"/>
  <c r="P24" i="4" s="1"/>
  <c r="W24" i="4" s="1"/>
  <c r="M4" i="4"/>
  <c r="O4" i="4" s="1"/>
  <c r="P4" i="4" s="1"/>
  <c r="V4" i="4" s="1"/>
  <c r="K13" i="4"/>
  <c r="M17" i="4"/>
  <c r="AB143" i="4"/>
  <c r="AI143" i="4" s="1"/>
  <c r="S117" i="4"/>
  <c r="S26" i="4"/>
  <c r="AF11" i="4"/>
  <c r="AB12" i="4"/>
  <c r="AF12" i="4" s="1"/>
  <c r="AG12" i="4" s="1"/>
  <c r="AB4" i="4"/>
  <c r="AF4" i="4" s="1"/>
  <c r="S13" i="4"/>
  <c r="AG76" i="4"/>
  <c r="AC76" i="4"/>
  <c r="W76" i="4"/>
  <c r="V76" i="4"/>
  <c r="AM76" i="4"/>
  <c r="AK76" i="4"/>
  <c r="AB39" i="4"/>
  <c r="AF29" i="4"/>
  <c r="AM23" i="4"/>
  <c r="W23" i="4"/>
  <c r="AK23" i="4"/>
  <c r="V23" i="4"/>
  <c r="AG23" i="4"/>
  <c r="AC23" i="4"/>
  <c r="BG13" i="3"/>
  <c r="O38" i="4"/>
  <c r="P38" i="4" s="1"/>
  <c r="AG69" i="4"/>
  <c r="AC69" i="4"/>
  <c r="AM69" i="4"/>
  <c r="AK69" i="4"/>
  <c r="W69" i="4"/>
  <c r="V69" i="4"/>
  <c r="AC147" i="4"/>
  <c r="AM147" i="4"/>
  <c r="W147" i="4"/>
  <c r="AK147" i="4"/>
  <c r="V147" i="4"/>
  <c r="AG147" i="4"/>
  <c r="AF36" i="4"/>
  <c r="AM129" i="4"/>
  <c r="W129" i="4"/>
  <c r="AK129" i="4"/>
  <c r="V129" i="4"/>
  <c r="AG129" i="4"/>
  <c r="AC129" i="4"/>
  <c r="AM140" i="4"/>
  <c r="W140" i="4"/>
  <c r="AK140" i="4"/>
  <c r="V140" i="4"/>
  <c r="AG140" i="4"/>
  <c r="AC140" i="4"/>
  <c r="AM142" i="4"/>
  <c r="W142" i="4"/>
  <c r="AK142" i="4"/>
  <c r="V142" i="4"/>
  <c r="AG142" i="4"/>
  <c r="AC142" i="4"/>
  <c r="AM127" i="4"/>
  <c r="W127" i="4"/>
  <c r="AK127" i="4"/>
  <c r="V127" i="4"/>
  <c r="AG127" i="4"/>
  <c r="AC127" i="4"/>
  <c r="AF38" i="4"/>
  <c r="AM12" i="4"/>
  <c r="W12" i="4"/>
  <c r="AK12" i="4"/>
  <c r="V12" i="4"/>
  <c r="AM30" i="4"/>
  <c r="W30" i="4"/>
  <c r="AK30" i="4"/>
  <c r="V30" i="4"/>
  <c r="AC30" i="4"/>
  <c r="O37" i="4"/>
  <c r="P37" i="4" s="1"/>
  <c r="AG75" i="4"/>
  <c r="AC75" i="4"/>
  <c r="W75" i="4"/>
  <c r="V75" i="4"/>
  <c r="AM75" i="4"/>
  <c r="AK75" i="4"/>
  <c r="AC153" i="4"/>
  <c r="AM153" i="4"/>
  <c r="W153" i="4"/>
  <c r="AK153" i="4"/>
  <c r="V153" i="4"/>
  <c r="AG153" i="4"/>
  <c r="AM141" i="4"/>
  <c r="W141" i="4"/>
  <c r="AK141" i="4"/>
  <c r="V141" i="4"/>
  <c r="AG141" i="4"/>
  <c r="AC141" i="4"/>
  <c r="AM36" i="4"/>
  <c r="W36" i="4"/>
  <c r="AK36" i="4"/>
  <c r="V36" i="4"/>
  <c r="AC36" i="4"/>
  <c r="W56" i="4"/>
  <c r="V56" i="4"/>
  <c r="AM56" i="4"/>
  <c r="AK56" i="4"/>
  <c r="AG56" i="4"/>
  <c r="AC56" i="4"/>
  <c r="AM121" i="4"/>
  <c r="W121" i="4"/>
  <c r="AK121" i="4"/>
  <c r="V121" i="4"/>
  <c r="AG121" i="4"/>
  <c r="AC121" i="4"/>
  <c r="BA13" i="3"/>
  <c r="AF30" i="4"/>
  <c r="O65" i="4"/>
  <c r="P65" i="4" s="1"/>
  <c r="AG62" i="4"/>
  <c r="AC62" i="4"/>
  <c r="W62" i="4"/>
  <c r="V62" i="4"/>
  <c r="AM62" i="4"/>
  <c r="AK62" i="4"/>
  <c r="AG64" i="4"/>
  <c r="AC64" i="4"/>
  <c r="W64" i="4"/>
  <c r="V64" i="4"/>
  <c r="AM64" i="4"/>
  <c r="AK64" i="4"/>
  <c r="AG77" i="4"/>
  <c r="AC77" i="4"/>
  <c r="V77" i="4"/>
  <c r="AM77" i="4"/>
  <c r="AK77" i="4"/>
  <c r="W77" i="4"/>
  <c r="AC155" i="4"/>
  <c r="AM155" i="4"/>
  <c r="W155" i="4"/>
  <c r="AK155" i="4"/>
  <c r="V155" i="4"/>
  <c r="AG155" i="4"/>
  <c r="AM134" i="4"/>
  <c r="W134" i="4"/>
  <c r="AK134" i="4"/>
  <c r="V134" i="4"/>
  <c r="AG134" i="4"/>
  <c r="AC134" i="4"/>
  <c r="AM25" i="4"/>
  <c r="W25" i="4"/>
  <c r="AK25" i="4"/>
  <c r="V25" i="4"/>
  <c r="AG25" i="4"/>
  <c r="AC25" i="4"/>
  <c r="W63" i="4"/>
  <c r="V63" i="4"/>
  <c r="AM63" i="4"/>
  <c r="AK63" i="4"/>
  <c r="AG63" i="4"/>
  <c r="AC63" i="4"/>
  <c r="AM116" i="4"/>
  <c r="W116" i="4"/>
  <c r="AK116" i="4"/>
  <c r="V116" i="4"/>
  <c r="AG116" i="4"/>
  <c r="AC116" i="4"/>
  <c r="AM114" i="4"/>
  <c r="W114" i="4"/>
  <c r="AK114" i="4"/>
  <c r="V114" i="4"/>
  <c r="AG114" i="4"/>
  <c r="AC114" i="4"/>
  <c r="AB16" i="4"/>
  <c r="AB26" i="4" s="1"/>
  <c r="AK95" i="4"/>
  <c r="V95" i="4"/>
  <c r="AG95" i="4"/>
  <c r="AC95" i="4"/>
  <c r="O104" i="4"/>
  <c r="P104" i="4" s="1"/>
  <c r="AM115" i="4"/>
  <c r="W115" i="4"/>
  <c r="AK115" i="4"/>
  <c r="V115" i="4"/>
  <c r="AG115" i="4"/>
  <c r="AC115" i="4"/>
  <c r="AB130" i="4"/>
  <c r="AF120" i="4"/>
  <c r="AF130" i="4" s="1"/>
  <c r="AB3" i="4"/>
  <c r="AF3" i="4" s="1"/>
  <c r="AB117" i="4"/>
  <c r="AF107" i="4"/>
  <c r="AF117" i="4" s="1"/>
  <c r="S65" i="4"/>
  <c r="AK94" i="4"/>
  <c r="V94" i="4"/>
  <c r="W95" i="4"/>
  <c r="AK103" i="4"/>
  <c r="V103" i="4"/>
  <c r="AG103" i="4"/>
  <c r="AC103" i="4"/>
  <c r="S104" i="4"/>
  <c r="AB94" i="4"/>
  <c r="W94" i="4"/>
  <c r="AK102" i="4"/>
  <c r="V102" i="4"/>
  <c r="AG102" i="4"/>
  <c r="AC102" i="4"/>
  <c r="W103" i="4"/>
  <c r="AB65" i="4"/>
  <c r="AM95" i="4"/>
  <c r="S78" i="4"/>
  <c r="AB68" i="4"/>
  <c r="AK101" i="4"/>
  <c r="V101" i="4"/>
  <c r="AG101" i="4"/>
  <c r="AC101" i="4"/>
  <c r="W102" i="4"/>
  <c r="AM94" i="4"/>
  <c r="AM103" i="4"/>
  <c r="AF133" i="4"/>
  <c r="AF143" i="4" s="1"/>
  <c r="AB146" i="4"/>
  <c r="AF39" i="4" l="1"/>
  <c r="AE39" i="4" s="1"/>
  <c r="AA143" i="4"/>
  <c r="W108" i="4"/>
  <c r="AC154" i="4"/>
  <c r="W128" i="4"/>
  <c r="AM154" i="4"/>
  <c r="AK108" i="4"/>
  <c r="AM108" i="4"/>
  <c r="H65" i="4"/>
  <c r="AF13" i="4"/>
  <c r="AM128" i="4"/>
  <c r="AK154" i="4"/>
  <c r="W154" i="4"/>
  <c r="H143" i="4"/>
  <c r="AM24" i="4"/>
  <c r="H13" i="4"/>
  <c r="K78" i="4"/>
  <c r="H78" i="4" s="1"/>
  <c r="H130" i="4"/>
  <c r="H104" i="4"/>
  <c r="V24" i="4"/>
  <c r="AE143" i="4"/>
  <c r="AG154" i="4"/>
  <c r="AC128" i="4"/>
  <c r="AK24" i="4"/>
  <c r="AC24" i="4"/>
  <c r="AG24" i="4"/>
  <c r="O117" i="4"/>
  <c r="P117" i="4" s="1"/>
  <c r="AC117" i="4" s="1"/>
  <c r="AC108" i="4"/>
  <c r="AG108" i="4"/>
  <c r="AG128" i="4"/>
  <c r="M78" i="4"/>
  <c r="O78" i="4"/>
  <c r="P78" i="4" s="1"/>
  <c r="V78" i="4" s="1"/>
  <c r="AK4" i="4"/>
  <c r="H26" i="4"/>
  <c r="O13" i="4"/>
  <c r="P13" i="4" s="1"/>
  <c r="K156" i="4"/>
  <c r="H156" i="4" s="1"/>
  <c r="H117" i="4"/>
  <c r="O146" i="4"/>
  <c r="M156" i="4"/>
  <c r="O133" i="4"/>
  <c r="M143" i="4"/>
  <c r="V128" i="4"/>
  <c r="O130" i="4"/>
  <c r="P130" i="4" s="1"/>
  <c r="AM130" i="4" s="1"/>
  <c r="M130" i="4"/>
  <c r="M29" i="4"/>
  <c r="K39" i="4"/>
  <c r="H39" i="4" s="1"/>
  <c r="O16" i="4"/>
  <c r="P16" i="4" s="1"/>
  <c r="AM16" i="4" s="1"/>
  <c r="M26" i="4"/>
  <c r="AM4" i="4"/>
  <c r="M13" i="4"/>
  <c r="W4" i="4"/>
  <c r="AG4" i="4"/>
  <c r="O17" i="4"/>
  <c r="P17" i="4" s="1"/>
  <c r="AC12" i="4"/>
  <c r="AC4" i="4"/>
  <c r="AF16" i="4"/>
  <c r="AF26" i="4" s="1"/>
  <c r="AE26" i="4" s="1"/>
  <c r="AB13" i="4"/>
  <c r="V65" i="4"/>
  <c r="AG65" i="4"/>
  <c r="AC65" i="4"/>
  <c r="W65" i="4"/>
  <c r="AM65" i="4"/>
  <c r="AB156" i="4"/>
  <c r="AF146" i="4"/>
  <c r="AE130" i="4"/>
  <c r="AA130" i="4"/>
  <c r="AI130" i="4"/>
  <c r="AM104" i="4"/>
  <c r="W104" i="4"/>
  <c r="V104" i="4"/>
  <c r="AA26" i="4"/>
  <c r="AI26" i="4"/>
  <c r="AG55" i="4"/>
  <c r="AC55" i="4"/>
  <c r="W55" i="4"/>
  <c r="V55" i="4"/>
  <c r="AM55" i="4"/>
  <c r="AK55" i="4"/>
  <c r="AM3" i="4"/>
  <c r="W3" i="4"/>
  <c r="AK3" i="4"/>
  <c r="V3" i="4"/>
  <c r="AG3" i="4"/>
  <c r="AC3" i="4"/>
  <c r="AG30" i="4"/>
  <c r="AF68" i="4"/>
  <c r="AB78" i="4"/>
  <c r="AM120" i="4"/>
  <c r="W120" i="4"/>
  <c r="AK120" i="4"/>
  <c r="V120" i="4"/>
  <c r="AG120" i="4"/>
  <c r="AC120" i="4"/>
  <c r="AB104" i="4"/>
  <c r="AF94" i="4"/>
  <c r="AG36" i="4"/>
  <c r="AA39" i="4"/>
  <c r="AI39" i="4"/>
  <c r="AC94" i="4"/>
  <c r="AC68" i="4"/>
  <c r="V68" i="4"/>
  <c r="AM68" i="4"/>
  <c r="AK68" i="4"/>
  <c r="W68" i="4"/>
  <c r="AA117" i="4"/>
  <c r="AI117" i="4"/>
  <c r="AE117" i="4"/>
  <c r="AM10" i="4"/>
  <c r="W10" i="4"/>
  <c r="AK10" i="4"/>
  <c r="V10" i="4"/>
  <c r="AG10" i="4"/>
  <c r="AC10" i="4"/>
  <c r="AM37" i="4"/>
  <c r="W37" i="4"/>
  <c r="AK37" i="4"/>
  <c r="V37" i="4"/>
  <c r="AG37" i="4"/>
  <c r="AC37" i="4"/>
  <c r="AM11" i="4"/>
  <c r="W11" i="4"/>
  <c r="AK11" i="4"/>
  <c r="V11" i="4"/>
  <c r="AG11" i="4"/>
  <c r="AC11" i="4"/>
  <c r="AE65" i="4"/>
  <c r="AI65" i="4"/>
  <c r="AA65" i="4"/>
  <c r="AM107" i="4"/>
  <c r="W107" i="4"/>
  <c r="AK107" i="4"/>
  <c r="V107" i="4"/>
  <c r="AG107" i="4"/>
  <c r="AC107" i="4"/>
  <c r="Q137" i="4" l="1"/>
  <c r="Q139" i="4"/>
  <c r="Q138" i="4"/>
  <c r="Q136" i="4"/>
  <c r="Q135" i="4"/>
  <c r="Q122" i="4"/>
  <c r="Q126" i="4"/>
  <c r="Q124" i="4"/>
  <c r="Q123" i="4"/>
  <c r="Q125" i="4"/>
  <c r="Q110" i="4"/>
  <c r="Q109" i="4"/>
  <c r="Q113" i="4"/>
  <c r="Q111" i="4"/>
  <c r="Q112" i="4"/>
  <c r="AG94" i="4"/>
  <c r="AF104" i="4"/>
  <c r="AG104" i="4" s="1"/>
  <c r="Q98" i="4"/>
  <c r="Q100" i="4"/>
  <c r="Q97" i="4"/>
  <c r="Q99" i="4"/>
  <c r="Q96" i="4"/>
  <c r="Q84" i="4"/>
  <c r="Q87" i="4"/>
  <c r="Q85" i="4"/>
  <c r="Q83" i="4"/>
  <c r="Q86" i="4"/>
  <c r="AG68" i="4"/>
  <c r="AF78" i="4"/>
  <c r="AE78" i="4" s="1"/>
  <c r="Q71" i="4"/>
  <c r="Q72" i="4"/>
  <c r="Q70" i="4"/>
  <c r="Q73" i="4"/>
  <c r="Q74" i="4"/>
  <c r="Q58" i="4"/>
  <c r="Q61" i="4"/>
  <c r="Q60" i="4"/>
  <c r="Q59" i="4"/>
  <c r="Q57" i="4"/>
  <c r="Q46" i="4"/>
  <c r="Q44" i="4"/>
  <c r="Q43" i="4"/>
  <c r="Q47" i="4"/>
  <c r="Q45" i="4"/>
  <c r="Q34" i="4"/>
  <c r="Q35" i="4"/>
  <c r="Q31" i="4"/>
  <c r="Q32" i="4"/>
  <c r="Q33" i="4"/>
  <c r="AG117" i="4"/>
  <c r="Q22" i="4"/>
  <c r="Q20" i="4"/>
  <c r="Q18" i="4"/>
  <c r="Q21" i="4"/>
  <c r="Q19" i="4"/>
  <c r="Q8" i="4"/>
  <c r="Q6" i="4"/>
  <c r="Q7" i="4"/>
  <c r="Q9" i="4"/>
  <c r="W13" i="4"/>
  <c r="Q5" i="4"/>
  <c r="AG16" i="4"/>
  <c r="W117" i="4"/>
  <c r="V117" i="4"/>
  <c r="AM117" i="4"/>
  <c r="W78" i="4"/>
  <c r="AM78" i="4"/>
  <c r="AC130" i="4"/>
  <c r="AC16" i="4"/>
  <c r="AG130" i="4"/>
  <c r="AK16" i="4"/>
  <c r="V16" i="4"/>
  <c r="V130" i="4"/>
  <c r="W16" i="4"/>
  <c r="W130" i="4"/>
  <c r="P146" i="4"/>
  <c r="Q146" i="4" s="1"/>
  <c r="O156" i="4"/>
  <c r="P156" i="4" s="1"/>
  <c r="AC156" i="4" s="1"/>
  <c r="P133" i="4"/>
  <c r="Q133" i="4" s="1"/>
  <c r="O143" i="4"/>
  <c r="P143" i="4" s="1"/>
  <c r="M39" i="4"/>
  <c r="O29" i="4"/>
  <c r="Q63" i="4"/>
  <c r="Q11" i="4"/>
  <c r="Q101" i="4"/>
  <c r="Q147" i="4"/>
  <c r="Q55" i="4"/>
  <c r="Q108" i="4"/>
  <c r="AC13" i="4"/>
  <c r="Q95" i="4"/>
  <c r="Q62" i="4"/>
  <c r="Q127" i="4"/>
  <c r="Q142" i="4"/>
  <c r="Q76" i="4"/>
  <c r="Q64" i="4"/>
  <c r="Q129" i="4"/>
  <c r="Q128" i="4"/>
  <c r="Q4" i="4"/>
  <c r="Q69" i="4"/>
  <c r="Q25" i="4"/>
  <c r="Q153" i="4"/>
  <c r="Q10" i="4"/>
  <c r="Q120" i="4"/>
  <c r="Q16" i="4"/>
  <c r="Q23" i="4"/>
  <c r="Q75" i="4"/>
  <c r="Q94" i="4"/>
  <c r="Q121" i="4"/>
  <c r="Q115" i="4"/>
  <c r="Q141" i="4"/>
  <c r="AG13" i="4"/>
  <c r="Q3" i="4"/>
  <c r="Q30" i="4"/>
  <c r="Q155" i="4"/>
  <c r="Q114" i="4"/>
  <c r="Q77" i="4"/>
  <c r="Q140" i="4"/>
  <c r="V13" i="4"/>
  <c r="Q116" i="4"/>
  <c r="Q37" i="4"/>
  <c r="Q68" i="4"/>
  <c r="Q102" i="4"/>
  <c r="AM13" i="4"/>
  <c r="Q107" i="4"/>
  <c r="Q56" i="4"/>
  <c r="Q103" i="4"/>
  <c r="Q24" i="4"/>
  <c r="Q134" i="4"/>
  <c r="Q12" i="4"/>
  <c r="Q154" i="4"/>
  <c r="Q36" i="4"/>
  <c r="O26" i="4"/>
  <c r="P26" i="4" s="1"/>
  <c r="AA104" i="4"/>
  <c r="AI104" i="4"/>
  <c r="AI156" i="4"/>
  <c r="AE156" i="4"/>
  <c r="AA156" i="4"/>
  <c r="AM38" i="4"/>
  <c r="W38" i="4"/>
  <c r="AK38" i="4"/>
  <c r="V38" i="4"/>
  <c r="AG38" i="4"/>
  <c r="Q38" i="4"/>
  <c r="AC38" i="4"/>
  <c r="AI78" i="4"/>
  <c r="AA78" i="4"/>
  <c r="AC78" i="4"/>
  <c r="AC104" i="4"/>
  <c r="AA13" i="4"/>
  <c r="AI13" i="4"/>
  <c r="AE13" i="4"/>
  <c r="AE104" i="4" l="1"/>
  <c r="AG78" i="4"/>
  <c r="V156" i="4"/>
  <c r="AM156" i="4"/>
  <c r="AG156" i="4"/>
  <c r="W156" i="4"/>
  <c r="V146" i="4"/>
  <c r="AC146" i="4"/>
  <c r="AM146" i="4"/>
  <c r="AK146" i="4"/>
  <c r="W146" i="4"/>
  <c r="AG146" i="4"/>
  <c r="AM143" i="4"/>
  <c r="W143" i="4"/>
  <c r="AG143" i="4"/>
  <c r="V143" i="4"/>
  <c r="AC143" i="4"/>
  <c r="V133" i="4"/>
  <c r="AM133" i="4"/>
  <c r="W133" i="4"/>
  <c r="AG133" i="4"/>
  <c r="AC133" i="4"/>
  <c r="AK133" i="4"/>
  <c r="P29" i="4"/>
  <c r="O39" i="4"/>
  <c r="P39" i="4" s="1"/>
  <c r="AM17" i="4"/>
  <c r="AK17" i="4"/>
  <c r="V17" i="4"/>
  <c r="Q17" i="4"/>
  <c r="AC17" i="4"/>
  <c r="W17" i="4"/>
  <c r="AG17" i="4"/>
  <c r="AG26" i="4"/>
  <c r="AM26" i="4"/>
  <c r="W26" i="4"/>
  <c r="V26" i="4"/>
  <c r="AC26" i="4"/>
  <c r="W39" i="4" l="1"/>
  <c r="V39" i="4"/>
  <c r="AG39" i="4"/>
  <c r="AM39" i="4"/>
  <c r="AC39" i="4"/>
  <c r="AC29" i="4"/>
  <c r="V29" i="4"/>
  <c r="AM29" i="4"/>
  <c r="W29" i="4"/>
  <c r="Q29" i="4"/>
  <c r="AK29" i="4"/>
  <c r="AG29" i="4"/>
  <c r="AB48" i="4"/>
  <c r="AF48" i="4" s="1"/>
  <c r="AB42" i="4"/>
  <c r="AF42" i="4" s="1"/>
  <c r="AB51" i="4"/>
  <c r="AB50" i="4"/>
  <c r="AF50" i="4" s="1"/>
  <c r="AB49" i="4"/>
  <c r="AF49" i="4" s="1"/>
  <c r="S52" i="4"/>
  <c r="I50" i="4"/>
  <c r="K50" i="4" s="1"/>
  <c r="M50" i="4" s="1"/>
  <c r="I49" i="4"/>
  <c r="K49" i="4" s="1"/>
  <c r="M49" i="4" s="1"/>
  <c r="I48" i="4"/>
  <c r="K48" i="4" s="1"/>
  <c r="M48" i="4" s="1"/>
  <c r="I51" i="4"/>
  <c r="K51" i="4" s="1"/>
  <c r="I42" i="4"/>
  <c r="I52" i="4" l="1"/>
  <c r="O48" i="4"/>
  <c r="O49" i="4"/>
  <c r="O50" i="4"/>
  <c r="M51" i="4"/>
  <c r="AF51" i="4"/>
  <c r="AF52" i="4" s="1"/>
  <c r="K42" i="4"/>
  <c r="AB52" i="4"/>
  <c r="M42" i="4" l="1"/>
  <c r="K52" i="4"/>
  <c r="H52" i="4" s="1"/>
  <c r="P49" i="4"/>
  <c r="P50" i="4"/>
  <c r="AE52" i="4"/>
  <c r="AI52" i="4"/>
  <c r="AA52" i="4"/>
  <c r="P48" i="4"/>
  <c r="O51" i="4"/>
  <c r="O42" i="4" l="1"/>
  <c r="M52" i="4"/>
  <c r="AC48" i="4"/>
  <c r="AM48" i="4"/>
  <c r="Q48" i="4"/>
  <c r="AK48" i="4"/>
  <c r="AG48" i="4"/>
  <c r="W48" i="4"/>
  <c r="V48" i="4"/>
  <c r="P51" i="4"/>
  <c r="Q50" i="4"/>
  <c r="AM50" i="4"/>
  <c r="V50" i="4"/>
  <c r="AC50" i="4"/>
  <c r="AK50" i="4"/>
  <c r="AG50" i="4"/>
  <c r="W50" i="4"/>
  <c r="Q49" i="4"/>
  <c r="W49" i="4"/>
  <c r="V49" i="4"/>
  <c r="AK49" i="4"/>
  <c r="AC49" i="4"/>
  <c r="AM49" i="4"/>
  <c r="AG49" i="4"/>
  <c r="AC51" i="4" l="1"/>
  <c r="AK51" i="4"/>
  <c r="V51" i="4"/>
  <c r="Q51" i="4"/>
  <c r="W51" i="4"/>
  <c r="AM51" i="4"/>
  <c r="AG51" i="4"/>
  <c r="P42" i="4"/>
  <c r="O52" i="4"/>
  <c r="P52" i="4" s="1"/>
  <c r="AC52" i="4" l="1"/>
  <c r="W52" i="4"/>
  <c r="AG52" i="4"/>
  <c r="AM52" i="4"/>
  <c r="V52" i="4"/>
  <c r="AG42" i="4"/>
  <c r="V42" i="4"/>
  <c r="Q42" i="4"/>
  <c r="AM42" i="4"/>
  <c r="AK42" i="4"/>
  <c r="W42" i="4"/>
  <c r="AC42" i="4"/>
  <c r="AB88" i="4"/>
  <c r="AB89" i="4"/>
  <c r="AF89" i="4" s="1"/>
  <c r="AZ10" i="3"/>
  <c r="AB90" i="4"/>
  <c r="BC11" i="3"/>
  <c r="BF4" i="3"/>
  <c r="BC12" i="3"/>
  <c r="AG3" i="3"/>
  <c r="AB82" i="4"/>
  <c r="AB81" i="4"/>
  <c r="AF81" i="4" s="1"/>
  <c r="I88" i="4"/>
  <c r="K88" i="4" s="1"/>
  <c r="S91" i="4"/>
  <c r="I90" i="4"/>
  <c r="K90" i="4" s="1"/>
  <c r="M90" i="4" s="1"/>
  <c r="I81" i="4"/>
  <c r="V3" i="3" s="1"/>
  <c r="I89" i="4"/>
  <c r="K89" i="4" s="1"/>
  <c r="I82" i="4"/>
  <c r="V4" i="3" s="1"/>
  <c r="K82" i="4" l="1"/>
  <c r="U4" i="3" s="1"/>
  <c r="V12" i="3"/>
  <c r="AF88" i="4"/>
  <c r="AR10" i="3" s="1"/>
  <c r="BF10" i="3"/>
  <c r="V10" i="3"/>
  <c r="V11" i="3"/>
  <c r="BF3" i="3"/>
  <c r="M89" i="4"/>
  <c r="I91" i="4"/>
  <c r="K81" i="4"/>
  <c r="U3" i="3" s="1"/>
  <c r="AZ4" i="3"/>
  <c r="AN10" i="3"/>
  <c r="M88" i="4"/>
  <c r="O90" i="4"/>
  <c r="AN4" i="3"/>
  <c r="AN12" i="3"/>
  <c r="BC3" i="3"/>
  <c r="AG11" i="3"/>
  <c r="BC10" i="3"/>
  <c r="AF82" i="4"/>
  <c r="AR4" i="3" s="1"/>
  <c r="AZ12" i="3"/>
  <c r="BC4" i="3"/>
  <c r="BF11" i="3"/>
  <c r="AZ11" i="3"/>
  <c r="AG12" i="3"/>
  <c r="AG4" i="3"/>
  <c r="AF13" i="3"/>
  <c r="AB91" i="4"/>
  <c r="AZ3" i="3"/>
  <c r="BF12" i="3"/>
  <c r="AG10" i="3"/>
  <c r="AF90" i="4"/>
  <c r="AR12" i="3" s="1"/>
  <c r="AF91" i="4" l="1"/>
  <c r="AE91" i="4" s="1"/>
  <c r="M82" i="4"/>
  <c r="Y4" i="3" s="1"/>
  <c r="U10" i="3"/>
  <c r="U12" i="3"/>
  <c r="AR3" i="3"/>
  <c r="AO13" i="3"/>
  <c r="AN13" i="3" s="1"/>
  <c r="AN3" i="3"/>
  <c r="U11" i="3"/>
  <c r="Y11" i="3"/>
  <c r="K91" i="4"/>
  <c r="H91" i="4" s="1"/>
  <c r="M81" i="4"/>
  <c r="O89" i="4"/>
  <c r="P89" i="4" s="1"/>
  <c r="P90" i="4"/>
  <c r="AA12" i="3"/>
  <c r="O88" i="4"/>
  <c r="Y10" i="3"/>
  <c r="AI91" i="4"/>
  <c r="AA91" i="4"/>
  <c r="AZ13" i="3"/>
  <c r="BF13" i="3"/>
  <c r="BC13" i="3"/>
  <c r="AN11" i="3"/>
  <c r="Y12" i="3"/>
  <c r="AR11" i="3"/>
  <c r="AA11" i="3" l="1"/>
  <c r="O82" i="4"/>
  <c r="P82" i="4" s="1"/>
  <c r="M91" i="4"/>
  <c r="AR13" i="3"/>
  <c r="O81" i="4"/>
  <c r="P81" i="4" s="1"/>
  <c r="Y3" i="3"/>
  <c r="AA10" i="3"/>
  <c r="P88" i="4"/>
  <c r="AG89" i="4"/>
  <c r="AC89" i="4"/>
  <c r="AM89" i="4"/>
  <c r="W89" i="4"/>
  <c r="Q89" i="4"/>
  <c r="AK89" i="4"/>
  <c r="V89" i="4"/>
  <c r="AK90" i="4"/>
  <c r="W90" i="4"/>
  <c r="AC90" i="4"/>
  <c r="Q90" i="4"/>
  <c r="AM90" i="4"/>
  <c r="V90" i="4"/>
  <c r="AG90" i="4"/>
  <c r="AA4" i="3" l="1"/>
  <c r="O91" i="4"/>
  <c r="P91" i="4" s="1"/>
  <c r="AC91" i="4" s="1"/>
  <c r="W81" i="4"/>
  <c r="Q81" i="4"/>
  <c r="AG81" i="4"/>
  <c r="AC81" i="4"/>
  <c r="AK81" i="4"/>
  <c r="AM81" i="4"/>
  <c r="V81" i="4"/>
  <c r="BH11" i="3"/>
  <c r="AV11" i="3"/>
  <c r="AP11" i="3"/>
  <c r="BB11" i="3"/>
  <c r="AT11" i="3"/>
  <c r="AI11" i="3"/>
  <c r="AJ11" i="3"/>
  <c r="AC82" i="4"/>
  <c r="W82" i="4"/>
  <c r="Q82" i="4"/>
  <c r="AM82" i="4"/>
  <c r="V82" i="4"/>
  <c r="AG82" i="4"/>
  <c r="AK82" i="4"/>
  <c r="AK88" i="4"/>
  <c r="AG88" i="4"/>
  <c r="AC88" i="4"/>
  <c r="W88" i="4"/>
  <c r="Q88" i="4"/>
  <c r="V88" i="4"/>
  <c r="AM88" i="4"/>
  <c r="BH12" i="3"/>
  <c r="AP12" i="3"/>
  <c r="AT12" i="3"/>
  <c r="BB12" i="3"/>
  <c r="AI12" i="3"/>
  <c r="AV12" i="3"/>
  <c r="AJ12" i="3"/>
  <c r="AB13" i="3" l="1"/>
  <c r="AA3" i="3"/>
  <c r="AM91" i="4"/>
  <c r="AG91" i="4"/>
  <c r="W91" i="4"/>
  <c r="V91" i="4"/>
  <c r="AV10" i="3"/>
  <c r="AP10" i="3"/>
  <c r="AI10" i="3"/>
  <c r="BB10" i="3"/>
  <c r="AJ10" i="3"/>
  <c r="AT10" i="3"/>
  <c r="BH10" i="3"/>
  <c r="AV4" i="3"/>
  <c r="AT4" i="3"/>
  <c r="AJ4" i="3"/>
  <c r="AP4" i="3"/>
  <c r="BB4" i="3"/>
  <c r="BH4" i="3"/>
  <c r="AI4" i="3"/>
  <c r="AT3" i="3"/>
  <c r="AP3" i="3"/>
  <c r="BH3" i="3"/>
  <c r="AV3" i="3"/>
  <c r="AJ3" i="3"/>
  <c r="BB3" i="3"/>
  <c r="AI3" i="3"/>
  <c r="AD4" i="3" l="1"/>
  <c r="AD8" i="3"/>
  <c r="AD9" i="3"/>
  <c r="AD6" i="3"/>
  <c r="AD7" i="3"/>
  <c r="AD5" i="3"/>
  <c r="C16" i="3"/>
  <c r="C17" i="3" s="1"/>
  <c r="AD3" i="3"/>
  <c r="AD10" i="3"/>
  <c r="AV13" i="3"/>
  <c r="C18" i="3"/>
  <c r="AI13" i="3"/>
  <c r="AT13" i="3"/>
  <c r="AJ13" i="3"/>
  <c r="AP13" i="3"/>
  <c r="BB13" i="3"/>
  <c r="BH13" i="3"/>
  <c r="AD12" i="3"/>
  <c r="AD11" i="3"/>
  <c r="C19" i="3" l="1"/>
  <c r="C22" i="3" s="1"/>
</calcChain>
</file>

<file path=xl/sharedStrings.xml><?xml version="1.0" encoding="utf-8"?>
<sst xmlns="http://schemas.openxmlformats.org/spreadsheetml/2006/main" count="974" uniqueCount="82">
  <si>
    <t>Рекламная система</t>
  </si>
  <si>
    <t>Рекламный формат, размер,
вид размещения</t>
  </si>
  <si>
    <t>Таргетинги</t>
  </si>
  <si>
    <t>Период</t>
  </si>
  <si>
    <t>Модель закупки</t>
  </si>
  <si>
    <t>Стоимость единицы закупки
(без НДС)</t>
  </si>
  <si>
    <t>Кол-во
единиц закупки</t>
  </si>
  <si>
    <t>Стоимость
(без НДС)</t>
  </si>
  <si>
    <t>СК, %</t>
  </si>
  <si>
    <t>Стоимость с учетом СК
(без НДС)</t>
  </si>
  <si>
    <t>АК, %</t>
  </si>
  <si>
    <t>Итоговая стоимость
(без НДС)</t>
  </si>
  <si>
    <t>Итоговая стоимость
(с НДС)</t>
  </si>
  <si>
    <t>Доля рекламного бюджета, %</t>
  </si>
  <si>
    <t xml:space="preserve">Показы </t>
  </si>
  <si>
    <t>Частота
(весь срок)</t>
  </si>
  <si>
    <t>Охват</t>
  </si>
  <si>
    <t>CPM
(с НДС)</t>
  </si>
  <si>
    <t>CPT
(с НДС)</t>
  </si>
  <si>
    <t>Доступная емкость аудитории</t>
  </si>
  <si>
    <t>SOV, %</t>
  </si>
  <si>
    <t>CTR, %</t>
  </si>
  <si>
    <t xml:space="preserve">Клики </t>
  </si>
  <si>
    <t>CPC
(с НДС)</t>
  </si>
  <si>
    <t>CR, %</t>
  </si>
  <si>
    <t>Конверсии</t>
  </si>
  <si>
    <t>CPA
(с НДС)</t>
  </si>
  <si>
    <t>CR(I), %</t>
  </si>
  <si>
    <t>Установки</t>
  </si>
  <si>
    <t>CPI 
(с НДС)</t>
  </si>
  <si>
    <t>ДРР, %</t>
  </si>
  <si>
    <t>Средний
чек</t>
  </si>
  <si>
    <t>Доход</t>
  </si>
  <si>
    <t>CPC</t>
  </si>
  <si>
    <t>Итого</t>
  </si>
  <si>
    <t>-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</si>
  <si>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</si>
  <si>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</si>
  <si>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</si>
  <si>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</si>
  <si>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</si>
  <si>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</si>
  <si>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</si>
  <si>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</si>
  <si>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</si>
  <si>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</si>
  <si>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</si>
  <si>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</si>
  <si>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</si>
  <si>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</si>
  <si>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</si>
  <si>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</si>
  <si>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</si>
  <si>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</si>
  <si>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</si>
  <si>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</si>
  <si>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CPI</t>
  </si>
  <si>
    <t>RTR, %</t>
  </si>
  <si>
    <t>Дочитывания</t>
  </si>
  <si>
    <t>CPR
(с НДС)</t>
  </si>
  <si>
    <t>% открытий статьи</t>
  </si>
  <si>
    <t>Открытия статьи</t>
  </si>
  <si>
    <t>ER, %</t>
  </si>
  <si>
    <t>Вовлечения</t>
  </si>
  <si>
    <t>CPE
(с НДС)</t>
  </si>
  <si>
    <t>\</t>
  </si>
  <si>
    <t>Единица измерения стоимости</t>
  </si>
  <si>
    <t>Цена за единицу
(без НДС)</t>
  </si>
  <si>
    <t>Кол-во
единиц</t>
  </si>
  <si>
    <t>CPL
(с НДС)</t>
  </si>
  <si>
    <t>01.01.2026 - 31.01.2026</t>
  </si>
  <si>
    <t>01.02.2026 - 28.02.2026</t>
  </si>
  <si>
    <t>01.03.2026 - 31.03.2026</t>
  </si>
  <si>
    <t>01.04.2026 - 30.04.2026</t>
  </si>
  <si>
    <t>01.05.2026 - 31.05.2026</t>
  </si>
  <si>
    <t>01.06.2026 - 30.06.2026</t>
  </si>
  <si>
    <t>01.07.2026 - 31.07.2026</t>
  </si>
  <si>
    <t>01.08.2026 - 31.08.2026</t>
  </si>
  <si>
    <t>01.09.2026 - 30.09.2026</t>
  </si>
  <si>
    <t>01.10.2026 - 31.10.2026</t>
  </si>
  <si>
    <t>01.11.2026 - 30.11.2026</t>
  </si>
  <si>
    <t>01.12.2026 - 31.12.2026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</si>
</sst>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5" x14ac:knownFonts="1">
    <font>
      <sz val="10"/>
      <color rgb="FF000000"/>
      <name val="Calibri"/>
      <scheme val="minor"/>
    </font>
    <font>
      <sz val="9"/>
      <color theme="0"/>
      <name val="Arial"/>
    </font>
    <font>
      <sz val="9"/>
      <color rgb="FFFFFFFF"/>
      <name val="Arial"/>
    </font>
    <font>
      <sz val="9"/>
      <color theme="1"/>
      <name val="Arial"/>
    </font>
    <font>
      <sz val="9"/>
      <color theme="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rgb="FFF3F3F3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2" fontId="1" fillId="2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textRotation="90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55"/>
  <sheetViews>
    <sheetView showGridLines="0" tabSelected="1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B3" sqref="AB3:AB12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17" width="4.33203125" customWidth="1"/>
    <col min="18" max="18" width="2.88671875" customWidth="1"/>
    <col min="19" max="22" width="12" customWidth="1"/>
    <col min="23" max="23" width="2.88671875" customWidth="1"/>
    <col min="24" max="30" width="12" customWidth="1"/>
    <col min="31" max="31" width="2.88671875" customWidth="1"/>
    <col min="32" max="38" width="12" customWidth="1"/>
    <col min="39" max="39" width="2.88671875" customWidth="1"/>
    <col min="40" max="42" width="12" customWidth="1"/>
    <col min="43" max="43" width="2.88671875" customWidth="1"/>
    <col min="44" max="46" width="12" customWidth="1"/>
    <col min="47" max="47" width="2.88671875" customWidth="1"/>
    <col min="48" max="50" width="12" customWidth="1"/>
    <col min="51" max="51" width="2.88671875" customWidth="1"/>
    <col min="52" max="56" width="12" hidden="1" customWidth="1"/>
    <col min="57" max="57" width="2.88671875" hidden="1" customWidth="1"/>
    <col min="58" max="60" width="12" hidden="1" customWidth="1"/>
    <col min="61" max="61" width="2.88671875" hidden="1" customWidth="1"/>
  </cols>
  <sheetData>
    <row r="1" spans="1:61" ht="13.8" x14ac:dyDescent="0.3">
      <c r="A1" s="26"/>
      <c r="B1" s="27"/>
      <c r="C1" s="27"/>
      <c r="D1" s="27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6"/>
      <c r="S1" s="27"/>
      <c r="T1" s="27"/>
      <c r="U1" s="27"/>
      <c r="V1" s="27"/>
      <c r="W1" s="26"/>
      <c r="X1" s="27"/>
      <c r="Y1" s="27"/>
      <c r="Z1" s="27"/>
      <c r="AA1" s="27"/>
      <c r="AB1" s="27"/>
      <c r="AC1" s="27"/>
      <c r="AD1" s="27"/>
      <c r="AE1" s="26"/>
      <c r="AF1" s="27"/>
      <c r="AG1" s="27"/>
      <c r="AH1" s="27"/>
      <c r="AI1" s="27"/>
      <c r="AJ1" s="27"/>
      <c r="AK1" s="27"/>
      <c r="AL1" s="27"/>
      <c r="AM1" s="26"/>
      <c r="AN1" s="27"/>
      <c r="AO1" s="27"/>
      <c r="AP1" s="27"/>
      <c r="AQ1" s="26"/>
      <c r="AR1" s="28"/>
      <c r="AS1" s="28"/>
      <c r="AT1" s="28"/>
      <c r="AU1" s="26"/>
      <c r="AV1" s="28"/>
      <c r="AW1" s="28"/>
      <c r="AX1" s="28"/>
      <c r="AY1" s="26"/>
      <c r="AZ1" s="27"/>
      <c r="BA1" s="27"/>
      <c r="BB1" s="27"/>
      <c r="BC1" s="27"/>
      <c r="BD1" s="27"/>
      <c r="BE1" s="26"/>
      <c r="BF1" s="27"/>
      <c r="BG1" s="27"/>
      <c r="BH1" s="27"/>
      <c r="BI1" s="26"/>
    </row>
    <row r="2" spans="1:61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29" t="s">
        <v>44</v>
      </c>
      <c r="G2" s="29" t="s">
        <v>45</v>
      </c>
      <c r="H2" s="29" t="s">
        <v>46</v>
      </c>
      <c r="I2" s="29" t="s">
        <v>47</v>
      </c>
      <c r="J2" s="29" t="s">
        <v>48</v>
      </c>
      <c r="K2" s="29" t="s">
        <v>49</v>
      </c>
      <c r="L2" s="29" t="s">
        <v>50</v>
      </c>
      <c r="M2" s="29" t="s">
        <v>51</v>
      </c>
      <c r="N2" s="29" t="s">
        <v>52</v>
      </c>
      <c r="O2" s="29" t="s">
        <v>53</v>
      </c>
      <c r="P2" s="29" t="s">
        <v>54</v>
      </c>
      <c r="Q2" s="29" t="s">
        <v>55</v>
      </c>
      <c r="R2" s="1"/>
      <c r="S2" s="3" t="s">
        <v>3</v>
      </c>
      <c r="T2" s="3" t="s">
        <v>4</v>
      </c>
      <c r="U2" s="3" t="s">
        <v>5</v>
      </c>
      <c r="V2" s="3" t="s">
        <v>6</v>
      </c>
      <c r="W2" s="1"/>
      <c r="X2" s="4" t="s">
        <v>7</v>
      </c>
      <c r="Y2" s="3" t="s">
        <v>8</v>
      </c>
      <c r="Z2" s="4" t="s">
        <v>9</v>
      </c>
      <c r="AA2" s="3" t="s">
        <v>10</v>
      </c>
      <c r="AB2" s="5" t="s">
        <v>11</v>
      </c>
      <c r="AC2" s="5" t="s">
        <v>12</v>
      </c>
      <c r="AD2" s="4" t="s">
        <v>13</v>
      </c>
      <c r="AE2" s="1"/>
      <c r="AF2" s="2" t="s">
        <v>14</v>
      </c>
      <c r="AG2" s="2" t="s">
        <v>15</v>
      </c>
      <c r="AH2" s="2" t="s">
        <v>16</v>
      </c>
      <c r="AI2" s="2" t="s">
        <v>17</v>
      </c>
      <c r="AJ2" s="2" t="s">
        <v>18</v>
      </c>
      <c r="AK2" s="2" t="s">
        <v>19</v>
      </c>
      <c r="AL2" s="2" t="s">
        <v>20</v>
      </c>
      <c r="AM2" s="1"/>
      <c r="AN2" s="6" t="s">
        <v>21</v>
      </c>
      <c r="AO2" s="7" t="s">
        <v>22</v>
      </c>
      <c r="AP2" s="7" t="s">
        <v>23</v>
      </c>
      <c r="AQ2" s="1"/>
      <c r="AR2" s="6" t="s">
        <v>24</v>
      </c>
      <c r="AS2" s="8" t="s">
        <v>25</v>
      </c>
      <c r="AT2" s="8" t="s">
        <v>26</v>
      </c>
      <c r="AU2" s="1"/>
      <c r="AV2" s="9" t="s">
        <v>30</v>
      </c>
      <c r="AW2" s="8" t="s">
        <v>31</v>
      </c>
      <c r="AX2" s="8" t="s">
        <v>32</v>
      </c>
      <c r="AY2" s="1"/>
      <c r="AZ2" s="6" t="s">
        <v>57</v>
      </c>
      <c r="BA2" s="7" t="s">
        <v>58</v>
      </c>
      <c r="BB2" s="7" t="s">
        <v>59</v>
      </c>
      <c r="BC2" s="8" t="s">
        <v>60</v>
      </c>
      <c r="BD2" s="8" t="s">
        <v>61</v>
      </c>
      <c r="BE2" s="1"/>
      <c r="BF2" s="6" t="s">
        <v>62</v>
      </c>
      <c r="BG2" s="7" t="s">
        <v>63</v>
      </c>
      <c r="BH2" s="7" t="s">
        <v>64</v>
      </c>
      <c r="BI2" s="1"/>
    </row>
    <row r="3" spans="1:61" ht="30.75" customHeight="1" x14ac:dyDescent="0.3">
      <c r="A3" s="10"/>
      <c r="B3" s="11"/>
      <c r="C3" s="12"/>
      <c r="D3" s="12"/>
      <c r="E3" s="10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10"/>
      <c r="S3" s="13"/>
      <c r="T3" s="14" t="s">
        <v>33</v>
      </c>
      <c r="U3" s="17" t="str">
        <f t="shared" ref="U3:U12" si="0">IFERROR(X3/V3,"-")</f>
        <v>-</v>
      </c>
      <c r="V3" s="16">
        <f>IFERROR(МП_Periods!I3+МП_Periods!I16+МП_Periods!I29+МП_Periods!I42+МП_Periods!I55+МП_Periods!I68+МП_Periods!I81+МП_Periods!I94+МП_Periods!I107+МП_Periods!I120+МП_Periods!I133+МП_Periods!I146,"-")</f>
        <v>0</v>
      </c>
      <c r="W3" s="10"/>
      <c r="X3" s="15">
        <f>SUM(МП_Periods!K3,МП_Periods!K16,МП_Periods!K29,МП_Periods!K42,МП_Periods!K55,МП_Periods!K68,МП_Periods!K81,МП_Periods!K94,МП_Periods!K107,МП_Periods!K120,МП_Periods!K133,МП_Periods!K146)</f>
        <v>0</v>
      </c>
      <c r="Y3" s="18" t="str">
        <f t="shared" ref="Y3:Y12" si="1">IFERROR(1-(Z3/X3),"-")</f>
        <v>-</v>
      </c>
      <c r="Z3" s="17">
        <f>SUM(МП_Periods!M3,МП_Periods!M16,МП_Periods!M29,МП_Periods!M42,МП_Periods!M55,МП_Periods!M68,МП_Periods!M81,МП_Periods!M94,МП_Periods!M107,МП_Periods!M120,МП_Periods!M133,МП_Periods!M146)</f>
        <v>0</v>
      </c>
      <c r="AA3" s="18" t="str">
        <f t="shared" ref="AA3:AA12" si="2">IFERROR((AB3/Z3)-1,"-")</f>
        <v>-</v>
      </c>
      <c r="AB3" s="15">
        <f>SUM(МП_Periods!O3,МП_Periods!O16,МП_Periods!O29,МП_Periods!O42,МП_Periods!O55,МП_Periods!O68,МП_Periods!O81,МП_Periods!O94,МП_Periods!O107,МП_Periods!O120,МП_Periods!O133,МП_Periods!O146)</f>
        <v>0</v>
      </c>
      <c r="AC3" s="15">
        <f>SUM(МП_Periods!P3,МП_Periods!P16,МП_Periods!P29,МП_Periods!P42,МП_Periods!P55,МП_Periods!P68,МП_Periods!P81,МП_Periods!P94,МП_Periods!P107,МП_Periods!P120,МП_Periods!P133,МП_Periods!P146)</f>
        <v>0</v>
      </c>
      <c r="AD3" s="18" t="str">
        <f t="shared" ref="AD3:AD12" si="3">IFERROR(AC3/$AC$13,"-")</f>
        <v>-</v>
      </c>
      <c r="AE3" s="10"/>
      <c r="AF3" s="16">
        <f>SUM(МП_Periods!S3,МП_Periods!S16,МП_Periods!S29,МП_Periods!S42,МП_Periods!S55,МП_Periods!S68,МП_Periods!S81,МП_Periods!S94,МП_Periods!S107,МП_Periods!S120,МП_Periods!S133,МП_Periods!S146)</f>
        <v>0</v>
      </c>
      <c r="AG3" s="13" t="str">
        <f t="shared" ref="AG3:AG12" si="4">IFERROR(AF3/AH3,"-")</f>
        <v>-</v>
      </c>
      <c r="AH3" s="13" t="str">
        <f>IFERROR(МП_Periods!U3+МП_Periods!U16+МП_Periods!U29+МП_Periods!U42+МП_Periods!U55+МП_Periods!U68+МП_Periods!U81+МП_Periods!U94+МП_Periods!U107+МП_Periods!U120+МП_Periods!U133+МП_Periods!U146,"-")</f>
        <v>-</v>
      </c>
      <c r="AI3" s="17" t="str">
        <f t="shared" ref="AI3:AI13" si="5">IFERROR(AC3/AF3*1000,"-")</f>
        <v>-</v>
      </c>
      <c r="AJ3" s="17" t="str">
        <f t="shared" ref="AJ3:AJ13" si="6">IFERROR(AC3/AH3*1000,"-")</f>
        <v>-</v>
      </c>
      <c r="AK3" s="16">
        <f>SUM(МП_Periods!X3,МП_Periods!X16,МП_Periods!X29,МП_Periods!X42,МП_Periods!X55,МП_Periods!X68,МП_Periods!X81,МП_Periods!X94,МП_Periods!X107,МП_Periods!X120,МП_Periods!X133,МП_Periods!X146)</f>
        <v>0</v>
      </c>
      <c r="AL3" s="18" t="str">
        <f t="shared" ref="AL3:AL12" si="7">IFERROR(#REF!/AK3,"-")</f>
        <v>-</v>
      </c>
      <c r="AM3" s="10"/>
      <c r="AN3" s="18" t="str">
        <f t="shared" ref="AN3:AN13" si="8">IFERROR(AO3/AF3,"-")</f>
        <v>-</v>
      </c>
      <c r="AO3" s="16">
        <f>SUM(МП_Periods!AB3,МП_Periods!AB16,МП_Periods!AB29,МП_Periods!AB42,МП_Periods!AB55,МП_Periods!AB68,МП_Periods!AB81,МП_Periods!AB94,МП_Periods!AB107,МП_Periods!AB120,МП_Periods!AB133,МП_Periods!AB146)</f>
        <v>0</v>
      </c>
      <c r="AP3" s="17" t="str">
        <f t="shared" ref="AP3:AP13" si="9">IFERROR(AC3/AO3,"-")</f>
        <v>-</v>
      </c>
      <c r="AQ3" s="10"/>
      <c r="AR3" s="18" t="str">
        <f t="shared" ref="AR3:AR13" si="10">IFERROR(AS3/AO3,"-")</f>
        <v>-</v>
      </c>
      <c r="AS3" s="16">
        <f>SUM(МП_Periods!AF3,МП_Periods!AF16,МП_Periods!AF29,МП_Periods!AF42,МП_Periods!AF55,МП_Periods!AF68,МП_Periods!AF81,МП_Periods!AF94,МП_Periods!AF107,МП_Periods!AF120,МП_Periods!AF133,МП_Periods!AF146)</f>
        <v>0</v>
      </c>
      <c r="AT3" s="17" t="str">
        <f t="shared" ref="AT3:AT13" si="11">IFERROR(AC3/AS3,"-")</f>
        <v>-</v>
      </c>
      <c r="AU3" s="10"/>
      <c r="AV3" s="18" t="str">
        <f t="shared" ref="AV3:AV13" si="12">IFERROR(AC3/AX3,"-")</f>
        <v>-</v>
      </c>
      <c r="AW3" s="17" t="str">
        <f>IFERROR(AX3/AS3,"-")</f>
        <v>-</v>
      </c>
      <c r="AX3" s="17">
        <f>SUM(МП_Periods!AO3,МП_Periods!AO16,МП_Periods!AO29,МП_Periods!AO42,МП_Periods!AO55,МП_Periods!AO68,МП_Periods!AO81,МП_Periods!AO94,МП_Periods!AO107,МП_Periods!AO120,МП_Periods!AO133,МП_Periods!AO146)</f>
        <v>0</v>
      </c>
      <c r="AY3" s="10"/>
      <c r="AZ3" s="18" t="str">
        <f t="shared" ref="AZ3:AZ13" si="13">IFERROR(BA3/AF3,"-")</f>
        <v>-</v>
      </c>
      <c r="BA3" s="13" t="str">
        <f t="shared" ref="BA3:BA12" si="14">IFERROR(#REF!+#REF!+#REF!+#REF!+#REF!+#REF!+#REF!+#REF!+#REF!+#REF!+#REF!+#REF!,"-")</f>
        <v>-</v>
      </c>
      <c r="BB3" s="17" t="str">
        <f t="shared" ref="BB3:BB13" si="15">IFERROR(AC3/BA3,"-")</f>
        <v>-</v>
      </c>
      <c r="BC3" s="18" t="str">
        <f t="shared" ref="BC3:BC13" si="16">IFERROR(BD3/AF3,"-")</f>
        <v>-</v>
      </c>
      <c r="BD3" s="13" t="str">
        <f t="shared" ref="BD3:BD12" si="17">IFERROR(#REF!+#REF!+#REF!+#REF!+#REF!+#REF!+#REF!+#REF!+#REF!+#REF!+#REF!+#REF!,"-")</f>
        <v>-</v>
      </c>
      <c r="BE3" s="10"/>
      <c r="BF3" s="18" t="str">
        <f t="shared" ref="BF3:BF13" si="18">IFERROR(BG3/AF3,"-")</f>
        <v>-</v>
      </c>
      <c r="BG3" s="13" t="str">
        <f t="shared" ref="BG3:BG12" si="19">IFERROR(#REF!+#REF!+#REF!+#REF!+#REF!+#REF!+#REF!+#REF!+#REF!+#REF!+#REF!+#REF!,"-")</f>
        <v>-</v>
      </c>
      <c r="BH3" s="17" t="str">
        <f t="shared" ref="BH3:BH13" si="20">IFERROR(AC3/BG3,"-")</f>
        <v>-</v>
      </c>
      <c r="BI3" s="10"/>
    </row>
    <row r="4" spans="1:61" ht="30.75" customHeight="1" x14ac:dyDescent="0.3">
      <c r="A4" s="10"/>
      <c r="B4" s="11"/>
      <c r="C4" s="12"/>
      <c r="D4" s="12"/>
      <c r="E4" s="10"/>
      <c r="F4" s="37"/>
      <c r="G4" s="36"/>
      <c r="H4" s="37"/>
      <c r="I4" s="37"/>
      <c r="J4" s="37"/>
      <c r="K4" s="37"/>
      <c r="L4" s="37"/>
      <c r="M4" s="37"/>
      <c r="N4" s="37"/>
      <c r="O4" s="37"/>
      <c r="P4" s="37"/>
      <c r="Q4" s="37"/>
      <c r="R4" s="10"/>
      <c r="S4" s="13"/>
      <c r="T4" s="14" t="s">
        <v>33</v>
      </c>
      <c r="U4" s="17" t="str">
        <f t="shared" si="0"/>
        <v>-</v>
      </c>
      <c r="V4" s="16">
        <f>IFERROR(МП_Periods!I4+МП_Periods!I17+МП_Periods!I30+МП_Periods!I48+МП_Periods!I56+МП_Periods!I69+МП_Periods!I82+МП_Periods!I95+МП_Periods!I108+МП_Periods!I121+МП_Periods!I134+МП_Periods!I147,"-")</f>
        <v>0</v>
      </c>
      <c r="W4" s="10"/>
      <c r="X4" s="15">
        <f>SUM(МП_Periods!K4,МП_Periods!K17,МП_Periods!K30,МП_Periods!K43,МП_Periods!K56,МП_Periods!K69,МП_Periods!K82,МП_Periods!K95,МП_Periods!K108,МП_Periods!K121,МП_Periods!K134,МП_Periods!K147)</f>
        <v>0</v>
      </c>
      <c r="Y4" s="18" t="str">
        <f t="shared" si="1"/>
        <v>-</v>
      </c>
      <c r="Z4" s="17">
        <f>SUM(МП_Periods!M4,МП_Periods!M17,МП_Periods!M30,МП_Periods!M43,МП_Periods!M56,МП_Periods!M69,МП_Periods!M82,МП_Periods!M95,МП_Periods!M108,МП_Periods!M121,МП_Periods!M134,МП_Periods!M147)</f>
        <v>0</v>
      </c>
      <c r="AA4" s="18" t="str">
        <f t="shared" si="2"/>
        <v>-</v>
      </c>
      <c r="AB4" s="15">
        <f>SUM(МП_Periods!O4,МП_Periods!O17,МП_Periods!O30,МП_Periods!O43,МП_Periods!O56,МП_Periods!O69,МП_Periods!O82,МП_Periods!O95,МП_Periods!O108,МП_Periods!O121,МП_Periods!O134,МП_Periods!O147)</f>
        <v>0</v>
      </c>
      <c r="AC4" s="15">
        <f>SUM(МП_Periods!P4,МП_Periods!P17,МП_Periods!P30,МП_Periods!P43,МП_Periods!P56,МП_Periods!P69,МП_Periods!P82,МП_Periods!P95,МП_Periods!P108,МП_Periods!P121,МП_Periods!P134,МП_Periods!P147)</f>
        <v>0</v>
      </c>
      <c r="AD4" s="30" t="str">
        <f t="shared" si="3"/>
        <v>-</v>
      </c>
      <c r="AE4" s="10"/>
      <c r="AF4" s="16">
        <f>SUM(МП_Periods!S4,МП_Periods!S17,МП_Periods!S30,МП_Periods!S43,МП_Periods!S56,МП_Periods!S69,МП_Periods!S82,МП_Periods!S95,МП_Periods!S108,МП_Periods!S121,МП_Periods!S134,МП_Periods!S147)</f>
        <v>0</v>
      </c>
      <c r="AG4" s="13" t="str">
        <f t="shared" si="4"/>
        <v>-</v>
      </c>
      <c r="AH4" s="13" t="str">
        <f>IFERROR(МП_Periods!U4+МП_Periods!U17+МП_Periods!U30+МП_Periods!U48+МП_Periods!U56+МП_Periods!U69+МП_Periods!U82+МП_Periods!U95+МП_Periods!U108+МП_Periods!U121+МП_Periods!U134+МП_Periods!U147,"-")</f>
        <v>-</v>
      </c>
      <c r="AI4" s="17" t="str">
        <f t="shared" si="5"/>
        <v>-</v>
      </c>
      <c r="AJ4" s="17" t="str">
        <f t="shared" si="6"/>
        <v>-</v>
      </c>
      <c r="AK4" s="16">
        <f>IFERROR(MAX(МП_Periods!X4,МП_Periods!X17,МП_Periods!X30,МП_Periods!X48,МП_Periods!X56,МП_Periods!X69,МП_Periods!X82,МП_Periods!X95,МП_Periods!X108,МП_Periods!X121,МП_Periods!X134,МП_Periods!X147),"-")</f>
        <v>0</v>
      </c>
      <c r="AL4" s="18" t="str">
        <f t="shared" si="7"/>
        <v>-</v>
      </c>
      <c r="AM4" s="10"/>
      <c r="AN4" s="18" t="str">
        <f t="shared" si="8"/>
        <v>-</v>
      </c>
      <c r="AO4" s="16">
        <f>SUM(МП_Periods!AB4,МП_Periods!AB17,МП_Periods!AB30,МП_Periods!AB43,МП_Periods!AB56,МП_Periods!AB69,МП_Periods!AB82,МП_Periods!AB95,МП_Periods!AB108,МП_Periods!AB121,МП_Periods!AB134,МП_Periods!AB147)</f>
        <v>0</v>
      </c>
      <c r="AP4" s="17" t="str">
        <f t="shared" si="9"/>
        <v>-</v>
      </c>
      <c r="AQ4" s="10"/>
      <c r="AR4" s="18" t="str">
        <f t="shared" si="10"/>
        <v>-</v>
      </c>
      <c r="AS4" s="16">
        <f>SUM(МП_Periods!AF4,МП_Periods!AF17,МП_Periods!AF30,МП_Periods!AF43,МП_Periods!AF56,МП_Periods!AF69,МП_Periods!AF82,МП_Periods!AF95,МП_Periods!AF108,МП_Periods!AF121,МП_Periods!AF134,МП_Periods!AF147)</f>
        <v>0</v>
      </c>
      <c r="AT4" s="17" t="str">
        <f t="shared" si="11"/>
        <v>-</v>
      </c>
      <c r="AU4" s="10"/>
      <c r="AV4" s="18" t="str">
        <f t="shared" si="12"/>
        <v>-</v>
      </c>
      <c r="AW4" s="17" t="str">
        <f t="shared" ref="AW4:AW12" si="21">IFERROR(AX4/AS4,"-")</f>
        <v>-</v>
      </c>
      <c r="AX4" s="17">
        <f>SUM(МП_Periods!AO4,МП_Periods!AO17,МП_Periods!AO30,МП_Periods!AO43,МП_Periods!AO56,МП_Periods!AO69,МП_Periods!AO82,МП_Periods!AO95,МП_Periods!AO108,МП_Periods!AO121,МП_Periods!AO134,МП_Periods!AO147)</f>
        <v>0</v>
      </c>
      <c r="AY4" s="10"/>
      <c r="AZ4" s="18" t="str">
        <f t="shared" si="13"/>
        <v>-</v>
      </c>
      <c r="BA4" s="13" t="str">
        <f t="shared" si="14"/>
        <v>-</v>
      </c>
      <c r="BB4" s="17" t="str">
        <f t="shared" si="15"/>
        <v>-</v>
      </c>
      <c r="BC4" s="18" t="str">
        <f t="shared" si="16"/>
        <v>-</v>
      </c>
      <c r="BD4" s="13" t="str">
        <f t="shared" si="17"/>
        <v>-</v>
      </c>
      <c r="BE4" s="10"/>
      <c r="BF4" s="18" t="str">
        <f t="shared" si="18"/>
        <v>-</v>
      </c>
      <c r="BG4" s="13" t="str">
        <f t="shared" si="19"/>
        <v>-</v>
      </c>
      <c r="BH4" s="17" t="str">
        <f t="shared" si="20"/>
        <v>-</v>
      </c>
      <c r="BI4" s="10"/>
    </row>
    <row r="5" spans="1:61" ht="30.75" customHeight="1" x14ac:dyDescent="0.3">
      <c r="A5" s="10"/>
      <c r="B5" s="11"/>
      <c r="C5" s="12"/>
      <c r="D5" s="12"/>
      <c r="E5" s="10"/>
      <c r="F5" s="37"/>
      <c r="G5" s="37"/>
      <c r="H5" s="36"/>
      <c r="I5" s="37"/>
      <c r="J5" s="37"/>
      <c r="K5" s="37"/>
      <c r="L5" s="37"/>
      <c r="M5" s="37"/>
      <c r="N5" s="37"/>
      <c r="O5" s="37"/>
      <c r="P5" s="37"/>
      <c r="Q5" s="37"/>
      <c r="R5" s="10"/>
      <c r="S5" s="13"/>
      <c r="T5" s="14" t="s">
        <v>33</v>
      </c>
      <c r="U5" s="17" t="str">
        <f t="shared" ref="U5:U9" si="22">IFERROR(X5/V5,"-")</f>
        <v>-</v>
      </c>
      <c r="V5" s="16">
        <f>IFERROR(МП_Periods!I5+МП_Periods!I18+МП_Periods!I31+МП_Periods!I44+МП_Periods!I57+МП_Periods!I70+МП_Periods!I83+МП_Periods!I96+МП_Periods!I109+МП_Periods!I122+МП_Periods!I135+МП_Periods!I148,"-")</f>
        <v>0</v>
      </c>
      <c r="W5" s="10"/>
      <c r="X5" s="15">
        <f>SUM(МП_Periods!K5,МП_Periods!K18,МП_Periods!K31,МП_Periods!K44,МП_Periods!K57,МП_Periods!K70,МП_Periods!K83,МП_Periods!K96,МП_Periods!K109,МП_Periods!K122,МП_Periods!K135,МП_Periods!K148)</f>
        <v>0</v>
      </c>
      <c r="Y5" s="18" t="str">
        <f t="shared" ref="Y5:Y9" si="23">IFERROR(1-(Z5/X5),"-")</f>
        <v>-</v>
      </c>
      <c r="Z5" s="17">
        <f>SUM(МП_Periods!M5,МП_Periods!M18,МП_Periods!M31,МП_Periods!M44,МП_Periods!M57,МП_Periods!M70,МП_Periods!M83,МП_Periods!M96,МП_Periods!M109,МП_Periods!M122,МП_Periods!M135,МП_Periods!M148)</f>
        <v>0</v>
      </c>
      <c r="AA5" s="18" t="str">
        <f t="shared" ref="AA5:AA9" si="24">IFERROR((AB5/Z5)-1,"-")</f>
        <v>-</v>
      </c>
      <c r="AB5" s="15">
        <f>SUM(МП_Periods!O5,МП_Periods!O18,МП_Periods!O31,МП_Periods!O44,МП_Periods!O57,МП_Periods!O70,МП_Periods!O83,МП_Periods!O96,МП_Periods!O109,МП_Periods!O122,МП_Periods!O135,МП_Periods!O148)</f>
        <v>0</v>
      </c>
      <c r="AC5" s="15">
        <f>SUM(МП_Periods!P5,МП_Periods!P18,МП_Periods!P31,МП_Periods!P44,МП_Periods!P57,МП_Periods!P70,МП_Periods!P83,МП_Periods!P96,МП_Periods!P109,МП_Periods!P122,МП_Periods!P135,МП_Periods!P148)</f>
        <v>0</v>
      </c>
      <c r="AD5" s="30" t="str">
        <f t="shared" ref="AD5:AD9" si="25">IFERROR(AC5/$AC$13,"-")</f>
        <v>-</v>
      </c>
      <c r="AE5" s="10"/>
      <c r="AF5" s="16">
        <f>SUM(МП_Periods!S5,МП_Periods!S18,МП_Periods!S31,МП_Periods!S44,МП_Periods!S57,МП_Periods!S70,МП_Periods!S83,МП_Periods!S96,МП_Periods!S109,МП_Periods!S122,МП_Periods!S135,МП_Periods!S148)</f>
        <v>0</v>
      </c>
      <c r="AG5" s="13" t="str">
        <f t="shared" ref="AG5:AG9" si="26">IFERROR(AF5/AH5,"-")</f>
        <v>-</v>
      </c>
      <c r="AH5" s="13" t="str">
        <f>IFERROR(МП_Periods!U5+МП_Periods!U18+МП_Periods!U31+МП_Periods!U44+МП_Periods!U57+МП_Periods!U70+МП_Periods!U83+МП_Periods!U96+МП_Periods!U109+МП_Periods!U122+МП_Periods!U135+МП_Periods!U148,"-")</f>
        <v>-</v>
      </c>
      <c r="AI5" s="17" t="str">
        <f t="shared" ref="AI5:AI9" si="27">IFERROR(AC5/AF5*1000,"-")</f>
        <v>-</v>
      </c>
      <c r="AJ5" s="17" t="str">
        <f t="shared" ref="AJ5:AJ9" si="28">IFERROR(AC5/AH5*1000,"-")</f>
        <v>-</v>
      </c>
      <c r="AK5" s="16">
        <f>IFERROR(MAX(МП_Periods!X5,МП_Periods!X18,МП_Periods!X31,МП_Periods!X44,МП_Periods!X57,МП_Periods!X70,МП_Periods!X83,МП_Periods!X96,МП_Periods!X109,МП_Periods!X122,МП_Periods!X135,МП_Periods!X148),"-")</f>
        <v>0</v>
      </c>
      <c r="AL5" s="18" t="str">
        <f t="shared" si="7"/>
        <v>-</v>
      </c>
      <c r="AM5" s="10"/>
      <c r="AN5" s="18" t="str">
        <f t="shared" ref="AN5:AN9" si="29">IFERROR(AO5/AF5,"-")</f>
        <v>-</v>
      </c>
      <c r="AO5" s="16">
        <f>SUM(МП_Periods!AB5,МП_Periods!AB18,МП_Periods!AB31,МП_Periods!AB44,МП_Periods!AB57,МП_Periods!AB70,МП_Periods!AB83,МП_Periods!AB96,МП_Periods!AB109,МП_Periods!AB122,МП_Periods!AB135,МП_Periods!AB148)</f>
        <v>0</v>
      </c>
      <c r="AP5" s="17" t="str">
        <f t="shared" ref="AP5:AP9" si="30">IFERROR(AC5/AO5,"-")</f>
        <v>-</v>
      </c>
      <c r="AQ5" s="10"/>
      <c r="AR5" s="18" t="str">
        <f t="shared" ref="AR5:AR9" si="31">IFERROR(AS5/AO5,"-")</f>
        <v>-</v>
      </c>
      <c r="AS5" s="16">
        <f>SUM(МП_Periods!AF5,МП_Periods!AF18,МП_Periods!AF31,МП_Periods!AF44,МП_Periods!AF57,МП_Periods!AF70,МП_Periods!AF83,МП_Periods!AF96,МП_Periods!AF109,МП_Periods!AF122,МП_Periods!AF135,МП_Periods!AF148)</f>
        <v>0</v>
      </c>
      <c r="AT5" s="17" t="str">
        <f t="shared" ref="AT5:AT9" si="32">IFERROR(AC5/AS5,"-")</f>
        <v>-</v>
      </c>
      <c r="AU5" s="10"/>
      <c r="AV5" s="18" t="str">
        <f t="shared" si="12"/>
        <v>-</v>
      </c>
      <c r="AW5" s="17" t="str">
        <f t="shared" si="21"/>
        <v>-</v>
      </c>
      <c r="AX5" s="17">
        <f>SUM(МП_Periods!AO5,МП_Periods!AO18,МП_Periods!AO31,МП_Periods!AO44,МП_Periods!AO57,МП_Periods!AO70,МП_Periods!AO83,МП_Periods!AO96,МП_Periods!AO109,МП_Periods!AO122,МП_Periods!AO135,МП_Periods!AO148)</f>
        <v>0</v>
      </c>
      <c r="AY5" s="10"/>
      <c r="AZ5" s="18" t="str">
        <f t="shared" si="13"/>
        <v>-</v>
      </c>
      <c r="BA5" s="13" t="str">
        <f t="shared" si="14"/>
        <v>-</v>
      </c>
      <c r="BB5" s="17" t="str">
        <f t="shared" si="15"/>
        <v>-</v>
      </c>
      <c r="BC5" s="18" t="str">
        <f t="shared" si="16"/>
        <v>-</v>
      </c>
      <c r="BD5" s="13" t="str">
        <f t="shared" si="17"/>
        <v>-</v>
      </c>
      <c r="BE5" s="10"/>
      <c r="BF5" s="18" t="str">
        <f t="shared" si="18"/>
        <v>-</v>
      </c>
      <c r="BG5" s="13" t="str">
        <f t="shared" si="19"/>
        <v>-</v>
      </c>
      <c r="BH5" s="17" t="str">
        <f t="shared" si="20"/>
        <v>-</v>
      </c>
      <c r="BI5" s="10"/>
    </row>
    <row r="6" spans="1:61" ht="30.75" customHeight="1" x14ac:dyDescent="0.3">
      <c r="A6" s="10"/>
      <c r="B6" s="11"/>
      <c r="C6" s="12"/>
      <c r="D6" s="12"/>
      <c r="E6" s="10"/>
      <c r="F6" s="37"/>
      <c r="G6" s="37"/>
      <c r="H6" s="36"/>
      <c r="I6" s="37"/>
      <c r="J6" s="37"/>
      <c r="K6" s="37"/>
      <c r="L6" s="37"/>
      <c r="M6" s="37"/>
      <c r="N6" s="37"/>
      <c r="O6" s="37"/>
      <c r="P6" s="37"/>
      <c r="Q6" s="37"/>
      <c r="R6" s="10"/>
      <c r="S6" s="13"/>
      <c r="T6" s="14" t="s">
        <v>33</v>
      </c>
      <c r="U6" s="17" t="str">
        <f t="shared" si="22"/>
        <v>-</v>
      </c>
      <c r="V6" s="16">
        <f>IFERROR(МП_Periods!I6+МП_Periods!I19+МП_Periods!I32+МП_Periods!I45+МП_Periods!I58+МП_Periods!I71+МП_Periods!I84+МП_Periods!I97+МП_Periods!I110+МП_Periods!I123+МП_Periods!I136+МП_Periods!I149,"-")</f>
        <v>0</v>
      </c>
      <c r="W6" s="10"/>
      <c r="X6" s="15">
        <f>SUM(МП_Periods!K6,МП_Periods!K19,МП_Periods!K32,МП_Periods!K45,МП_Periods!K58,МП_Periods!K71,МП_Periods!K84,МП_Periods!K97,МП_Periods!K110,МП_Periods!K123,МП_Periods!K136,МП_Periods!K149)</f>
        <v>0</v>
      </c>
      <c r="Y6" s="18" t="str">
        <f t="shared" si="23"/>
        <v>-</v>
      </c>
      <c r="Z6" s="17">
        <f>SUM(МП_Periods!M6,МП_Periods!M19,МП_Periods!M32,МП_Periods!M45,МП_Periods!M58,МП_Periods!M71,МП_Periods!M84,МП_Periods!M97,МП_Periods!M110,МП_Periods!M123,МП_Periods!M136,МП_Periods!M149)</f>
        <v>0</v>
      </c>
      <c r="AA6" s="18" t="str">
        <f t="shared" si="24"/>
        <v>-</v>
      </c>
      <c r="AB6" s="15">
        <f>SUM(МП_Periods!O6,МП_Periods!O19,МП_Periods!O32,МП_Periods!O45,МП_Periods!O58,МП_Periods!O71,МП_Periods!O84,МП_Periods!O97,МП_Periods!O110,МП_Periods!O123,МП_Periods!O136,МП_Periods!O149)</f>
        <v>0</v>
      </c>
      <c r="AC6" s="15">
        <f>SUM(МП_Periods!P6,МП_Periods!P19,МП_Periods!P32,МП_Periods!P45,МП_Periods!P58,МП_Periods!P71,МП_Periods!P84,МП_Periods!P97,МП_Periods!P110,МП_Periods!P123,МП_Periods!P136,МП_Periods!P149)</f>
        <v>0</v>
      </c>
      <c r="AD6" s="30" t="str">
        <f t="shared" si="25"/>
        <v>-</v>
      </c>
      <c r="AE6" s="10"/>
      <c r="AF6" s="16">
        <f>SUM(МП_Periods!S6,МП_Periods!S19,МП_Periods!S32,МП_Periods!S45,МП_Periods!S58,МП_Periods!S71,МП_Periods!S84,МП_Periods!S97,МП_Periods!S110,МП_Periods!S123,МП_Periods!S136,МП_Periods!S149)</f>
        <v>0</v>
      </c>
      <c r="AG6" s="13" t="str">
        <f t="shared" si="26"/>
        <v>-</v>
      </c>
      <c r="AH6" s="13" t="str">
        <f>IFERROR(МП_Periods!U6+МП_Periods!U19+МП_Periods!U32+МП_Periods!U45+МП_Periods!U58+МП_Periods!U71+МП_Periods!U84+МП_Periods!U97+МП_Periods!U110+МП_Periods!U123+МП_Periods!U136+МП_Periods!U149,"-")</f>
        <v>-</v>
      </c>
      <c r="AI6" s="17" t="str">
        <f t="shared" si="27"/>
        <v>-</v>
      </c>
      <c r="AJ6" s="17" t="str">
        <f t="shared" si="28"/>
        <v>-</v>
      </c>
      <c r="AK6" s="16">
        <f>IFERROR(MAX(МП_Periods!X6,МП_Periods!X19,МП_Periods!X32,МП_Periods!X45,МП_Periods!X58,МП_Periods!X71,МП_Periods!X84,МП_Periods!X97,МП_Periods!X110,МП_Periods!X123,МП_Periods!X136,МП_Periods!X149),"-")</f>
        <v>0</v>
      </c>
      <c r="AL6" s="18" t="str">
        <f t="shared" si="7"/>
        <v>-</v>
      </c>
      <c r="AM6" s="10"/>
      <c r="AN6" s="18" t="str">
        <f t="shared" si="29"/>
        <v>-</v>
      </c>
      <c r="AO6" s="16">
        <f>SUM(МП_Periods!AB6,МП_Periods!AB19,МП_Periods!AB32,МП_Periods!AB45,МП_Periods!AB58,МП_Periods!AB71,МП_Periods!AB84,МП_Periods!AB97,МП_Periods!AB110,МП_Periods!AB123,МП_Periods!AB136,МП_Periods!AB149)</f>
        <v>0</v>
      </c>
      <c r="AP6" s="17" t="str">
        <f t="shared" si="30"/>
        <v>-</v>
      </c>
      <c r="AQ6" s="10"/>
      <c r="AR6" s="18" t="str">
        <f t="shared" si="31"/>
        <v>-</v>
      </c>
      <c r="AS6" s="16">
        <f>SUM(МП_Periods!AF6,МП_Periods!AF19,МП_Periods!AF32,МП_Periods!AF45,МП_Periods!AF58,МП_Periods!AF71,МП_Periods!AF84,МП_Periods!AF97,МП_Periods!AF110,МП_Periods!AF123,МП_Periods!AF136,МП_Periods!AF149)</f>
        <v>0</v>
      </c>
      <c r="AT6" s="17" t="str">
        <f t="shared" si="32"/>
        <v>-</v>
      </c>
      <c r="AU6" s="10"/>
      <c r="AV6" s="18" t="str">
        <f t="shared" si="12"/>
        <v>-</v>
      </c>
      <c r="AW6" s="17" t="str">
        <f t="shared" si="21"/>
        <v>-</v>
      </c>
      <c r="AX6" s="17">
        <f>SUM(МП_Periods!AO6,МП_Periods!AO19,МП_Periods!AO32,МП_Periods!AO45,МП_Periods!AO58,МП_Periods!AO71,МП_Periods!AO84,МП_Periods!AO97,МП_Periods!AO110,МП_Periods!AO123,МП_Periods!AO136,МП_Periods!AO149)</f>
        <v>0</v>
      </c>
      <c r="AY6" s="10"/>
      <c r="AZ6" s="18" t="str">
        <f t="shared" si="13"/>
        <v>-</v>
      </c>
      <c r="BA6" s="13" t="str">
        <f t="shared" si="14"/>
        <v>-</v>
      </c>
      <c r="BB6" s="17" t="str">
        <f t="shared" si="15"/>
        <v>-</v>
      </c>
      <c r="BC6" s="18" t="str">
        <f t="shared" si="16"/>
        <v>-</v>
      </c>
      <c r="BD6" s="13" t="str">
        <f t="shared" si="17"/>
        <v>-</v>
      </c>
      <c r="BE6" s="10"/>
      <c r="BF6" s="18" t="str">
        <f t="shared" si="18"/>
        <v>-</v>
      </c>
      <c r="BG6" s="13" t="str">
        <f t="shared" si="19"/>
        <v>-</v>
      </c>
      <c r="BH6" s="17" t="str">
        <f t="shared" si="20"/>
        <v>-</v>
      </c>
      <c r="BI6" s="10"/>
    </row>
    <row r="7" spans="1:61" ht="30.75" customHeight="1" x14ac:dyDescent="0.3">
      <c r="A7" s="10"/>
      <c r="B7" s="11"/>
      <c r="C7" s="12"/>
      <c r="D7" s="12"/>
      <c r="E7" s="10"/>
      <c r="F7" s="37"/>
      <c r="G7" s="37"/>
      <c r="H7" s="36"/>
      <c r="I7" s="37"/>
      <c r="J7" s="37"/>
      <c r="K7" s="37"/>
      <c r="L7" s="37"/>
      <c r="M7" s="37"/>
      <c r="N7" s="37"/>
      <c r="O7" s="37"/>
      <c r="P7" s="37"/>
      <c r="Q7" s="37"/>
      <c r="R7" s="10"/>
      <c r="S7" s="13"/>
      <c r="T7" s="14" t="s">
        <v>33</v>
      </c>
      <c r="U7" s="17" t="str">
        <f t="shared" si="22"/>
        <v>-</v>
      </c>
      <c r="V7" s="16">
        <f>IFERROR(МП_Periods!I7+МП_Periods!I20+МП_Periods!I33+МП_Periods!I46+МП_Periods!I59+МП_Periods!I72+МП_Periods!I85+МП_Periods!I98+МП_Periods!I111+МП_Periods!I124+МП_Periods!I137+МП_Periods!I150,"-")</f>
        <v>0</v>
      </c>
      <c r="W7" s="10"/>
      <c r="X7" s="15">
        <f>SUM(МП_Periods!K7,МП_Periods!K20,МП_Periods!K33,МП_Periods!K46,МП_Periods!K59,МП_Periods!K72,МП_Periods!K85,МП_Periods!K98,МП_Periods!K111,МП_Periods!K124,МП_Periods!K137,МП_Periods!K150)</f>
        <v>0</v>
      </c>
      <c r="Y7" s="18" t="str">
        <f t="shared" si="23"/>
        <v>-</v>
      </c>
      <c r="Z7" s="17">
        <f>SUM(МП_Periods!M7,МП_Periods!M20,МП_Periods!M33,МП_Periods!M46,МП_Periods!M59,МП_Periods!M72,МП_Periods!M85,МП_Periods!M98,МП_Periods!M111,МП_Periods!M124,МП_Periods!M137,МП_Periods!M150)</f>
        <v>0</v>
      </c>
      <c r="AA7" s="18" t="str">
        <f t="shared" si="24"/>
        <v>-</v>
      </c>
      <c r="AB7" s="15">
        <f>SUM(МП_Periods!O7,МП_Periods!O20,МП_Periods!O33,МП_Periods!O46,МП_Periods!O59,МП_Periods!O72,МП_Periods!O85,МП_Periods!O98,МП_Periods!O111,МП_Periods!O124,МП_Periods!O137,МП_Periods!O150)</f>
        <v>0</v>
      </c>
      <c r="AC7" s="15">
        <f>SUM(МП_Periods!P7,МП_Periods!P20,МП_Periods!P33,МП_Periods!P46,МП_Periods!P59,МП_Periods!P72,МП_Periods!P85,МП_Periods!P98,МП_Periods!P111,МП_Periods!P124,МП_Periods!P137,МП_Periods!P150)</f>
        <v>0</v>
      </c>
      <c r="AD7" s="30" t="str">
        <f t="shared" si="25"/>
        <v>-</v>
      </c>
      <c r="AE7" s="10"/>
      <c r="AF7" s="16">
        <f>SUM(МП_Periods!S7,МП_Periods!S20,МП_Periods!S33,МП_Periods!S46,МП_Periods!S59,МП_Periods!S72,МП_Periods!S85,МП_Periods!S98,МП_Periods!S111,МП_Periods!S124,МП_Periods!S137,МП_Periods!S150)</f>
        <v>0</v>
      </c>
      <c r="AG7" s="13" t="str">
        <f t="shared" si="26"/>
        <v>-</v>
      </c>
      <c r="AH7" s="13" t="str">
        <f>IFERROR(МП_Periods!U7+МП_Periods!U20+МП_Periods!U33+МП_Periods!U46+МП_Periods!U59+МП_Periods!U72+МП_Periods!U85+МП_Periods!U98+МП_Periods!U111+МП_Periods!U124+МП_Periods!U137+МП_Periods!U150,"-")</f>
        <v>-</v>
      </c>
      <c r="AI7" s="17" t="str">
        <f t="shared" si="27"/>
        <v>-</v>
      </c>
      <c r="AJ7" s="17" t="str">
        <f t="shared" si="28"/>
        <v>-</v>
      </c>
      <c r="AK7" s="16">
        <f>IFERROR(MAX(МП_Periods!X7,МП_Periods!X20,МП_Periods!X33,МП_Periods!X46,МП_Periods!X59,МП_Periods!X72,МП_Periods!X85,МП_Periods!X98,МП_Periods!X111,МП_Periods!X124,МП_Periods!X137,МП_Periods!X150),"-")</f>
        <v>0</v>
      </c>
      <c r="AL7" s="18" t="str">
        <f t="shared" si="7"/>
        <v>-</v>
      </c>
      <c r="AM7" s="10"/>
      <c r="AN7" s="18" t="str">
        <f t="shared" si="29"/>
        <v>-</v>
      </c>
      <c r="AO7" s="16">
        <f>SUM(МП_Periods!AB7,МП_Periods!AB20,МП_Periods!AB33,МП_Periods!AB46,МП_Periods!AB59,МП_Periods!AB72,МП_Periods!AB85,МП_Periods!AB98,МП_Periods!AB111,МП_Periods!AB124,МП_Periods!AB137,МП_Periods!AB150)</f>
        <v>0</v>
      </c>
      <c r="AP7" s="17" t="str">
        <f t="shared" si="30"/>
        <v>-</v>
      </c>
      <c r="AQ7" s="10"/>
      <c r="AR7" s="18" t="str">
        <f t="shared" si="31"/>
        <v>-</v>
      </c>
      <c r="AS7" s="16">
        <f>SUM(МП_Periods!AF7,МП_Periods!AF20,МП_Periods!AF33,МП_Periods!AF46,МП_Periods!AF59,МП_Periods!AF72,МП_Periods!AF85,МП_Periods!AF98,МП_Periods!AF111,МП_Periods!AF124,МП_Periods!AF137,МП_Periods!AF150)</f>
        <v>0</v>
      </c>
      <c r="AT7" s="17" t="str">
        <f t="shared" si="32"/>
        <v>-</v>
      </c>
      <c r="AU7" s="10"/>
      <c r="AV7" s="18" t="str">
        <f t="shared" si="12"/>
        <v>-</v>
      </c>
      <c r="AW7" s="17" t="str">
        <f t="shared" si="21"/>
        <v>-</v>
      </c>
      <c r="AX7" s="17">
        <f>SUM(МП_Periods!AO7,МП_Periods!AO20,МП_Periods!AO33,МП_Periods!AO46,МП_Periods!AO59,МП_Periods!AO72,МП_Periods!AO85,МП_Periods!AO98,МП_Periods!AO111,МП_Periods!AO124,МП_Periods!AO137,МП_Periods!AO150)</f>
        <v>0</v>
      </c>
      <c r="AY7" s="10"/>
      <c r="AZ7" s="18" t="str">
        <f t="shared" si="13"/>
        <v>-</v>
      </c>
      <c r="BA7" s="13" t="str">
        <f t="shared" si="14"/>
        <v>-</v>
      </c>
      <c r="BB7" s="17" t="str">
        <f t="shared" si="15"/>
        <v>-</v>
      </c>
      <c r="BC7" s="18" t="str">
        <f t="shared" si="16"/>
        <v>-</v>
      </c>
      <c r="BD7" s="13" t="str">
        <f t="shared" si="17"/>
        <v>-</v>
      </c>
      <c r="BE7" s="10"/>
      <c r="BF7" s="18" t="str">
        <f t="shared" si="18"/>
        <v>-</v>
      </c>
      <c r="BG7" s="13" t="str">
        <f t="shared" si="19"/>
        <v>-</v>
      </c>
      <c r="BH7" s="17" t="str">
        <f t="shared" si="20"/>
        <v>-</v>
      </c>
      <c r="BI7" s="10"/>
    </row>
    <row r="8" spans="1:61" ht="30.75" customHeight="1" x14ac:dyDescent="0.3">
      <c r="A8" s="10"/>
      <c r="B8" s="11"/>
      <c r="C8" s="12"/>
      <c r="D8" s="12"/>
      <c r="E8" s="10"/>
      <c r="F8" s="37"/>
      <c r="G8" s="37"/>
      <c r="H8" s="36"/>
      <c r="I8" s="37"/>
      <c r="J8" s="37"/>
      <c r="K8" s="37"/>
      <c r="L8" s="37"/>
      <c r="M8" s="37"/>
      <c r="N8" s="37"/>
      <c r="O8" s="37"/>
      <c r="P8" s="37"/>
      <c r="Q8" s="37"/>
      <c r="R8" s="10"/>
      <c r="S8" s="13"/>
      <c r="T8" s="14" t="s">
        <v>33</v>
      </c>
      <c r="U8" s="17" t="str">
        <f t="shared" si="22"/>
        <v>-</v>
      </c>
      <c r="V8" s="16">
        <f>IFERROR(МП_Periods!I8+МП_Periods!I21+МП_Periods!I34+МП_Periods!I47+МП_Periods!I60+МП_Periods!I73+МП_Periods!I86+МП_Periods!I99+МП_Periods!I112+МП_Periods!I125+МП_Periods!I138+МП_Periods!I151,"-")</f>
        <v>0</v>
      </c>
      <c r="W8" s="10"/>
      <c r="X8" s="15">
        <f>SUM(МП_Periods!K8,МП_Periods!K21,МП_Periods!K34,МП_Periods!K47,МП_Periods!K60,МП_Periods!K73,МП_Periods!K86,МП_Periods!K99,МП_Periods!K112,МП_Periods!K125,МП_Periods!K138,МП_Periods!K151)</f>
        <v>0</v>
      </c>
      <c r="Y8" s="18" t="str">
        <f t="shared" si="23"/>
        <v>-</v>
      </c>
      <c r="Z8" s="17">
        <f>SUM(МП_Periods!M8,МП_Periods!M21,МП_Periods!M34,МП_Periods!M47,МП_Periods!M60,МП_Periods!M73,МП_Periods!M86,МП_Periods!M99,МП_Periods!M112,МП_Periods!M125,МП_Periods!M138,МП_Periods!M151)</f>
        <v>0</v>
      </c>
      <c r="AA8" s="18" t="str">
        <f t="shared" si="24"/>
        <v>-</v>
      </c>
      <c r="AB8" s="15">
        <f>SUM(МП_Periods!O8,МП_Periods!O21,МП_Periods!O34,МП_Periods!O47,МП_Periods!O60,МП_Periods!O73,МП_Periods!O86,МП_Periods!O99,МП_Periods!O112,МП_Periods!O125,МП_Periods!O138,МП_Periods!O151)</f>
        <v>0</v>
      </c>
      <c r="AC8" s="15">
        <f>SUM(МП_Periods!P8,МП_Periods!P21,МП_Periods!P34,МП_Periods!P47,МП_Periods!P60,МП_Periods!P73,МП_Periods!P86,МП_Periods!P99,МП_Periods!P112,МП_Periods!P125,МП_Periods!P138,МП_Periods!P151)</f>
        <v>0</v>
      </c>
      <c r="AD8" s="30" t="str">
        <f t="shared" si="25"/>
        <v>-</v>
      </c>
      <c r="AE8" s="10"/>
      <c r="AF8" s="16">
        <f>SUM(МП_Periods!S8,МП_Periods!S21,МП_Periods!S34,МП_Periods!S47,МП_Periods!S60,МП_Periods!S73,МП_Periods!S86,МП_Periods!S99,МП_Periods!S112,МП_Periods!S125,МП_Periods!S138,МП_Periods!S151)</f>
        <v>0</v>
      </c>
      <c r="AG8" s="13" t="str">
        <f t="shared" si="26"/>
        <v>-</v>
      </c>
      <c r="AH8" s="13" t="str">
        <f>IFERROR(МП_Periods!U8+МП_Periods!U21+МП_Periods!U34+МП_Periods!U47+МП_Periods!U60+МП_Periods!U73+МП_Periods!U86+МП_Periods!U99+МП_Periods!U112+МП_Periods!U125+МП_Periods!U138+МП_Periods!U151,"-")</f>
        <v>-</v>
      </c>
      <c r="AI8" s="17" t="str">
        <f t="shared" si="27"/>
        <v>-</v>
      </c>
      <c r="AJ8" s="17" t="str">
        <f t="shared" si="28"/>
        <v>-</v>
      </c>
      <c r="AK8" s="16">
        <f>IFERROR(MAX(МП_Periods!X8,МП_Periods!X21,МП_Periods!X34,МП_Periods!X47,МП_Periods!X60,МП_Periods!X73,МП_Periods!X86,МП_Periods!X99,МП_Periods!X112,МП_Periods!X125,МП_Periods!X138,МП_Periods!X151),"-")</f>
        <v>0</v>
      </c>
      <c r="AL8" s="18" t="str">
        <f t="shared" si="7"/>
        <v>-</v>
      </c>
      <c r="AM8" s="10"/>
      <c r="AN8" s="18" t="str">
        <f t="shared" si="29"/>
        <v>-</v>
      </c>
      <c r="AO8" s="16">
        <f>SUM(МП_Periods!AB8,МП_Periods!AB21,МП_Periods!AB34,МП_Periods!AB47,МП_Periods!AB60,МП_Periods!AB73,МП_Periods!AB86,МП_Periods!AB99,МП_Periods!AB112,МП_Periods!AB125,МП_Periods!AB138,МП_Periods!AB151)</f>
        <v>0</v>
      </c>
      <c r="AP8" s="17" t="str">
        <f t="shared" si="30"/>
        <v>-</v>
      </c>
      <c r="AQ8" s="10"/>
      <c r="AR8" s="18" t="str">
        <f t="shared" si="31"/>
        <v>-</v>
      </c>
      <c r="AS8" s="16">
        <f>SUM(МП_Periods!AF8,МП_Periods!AF21,МП_Periods!AF34,МП_Periods!AF47,МП_Periods!AF60,МП_Periods!AF73,МП_Periods!AF86,МП_Periods!AF99,МП_Periods!AF112,МП_Periods!AF125,МП_Periods!AF138,МП_Periods!AF151)</f>
        <v>0</v>
      </c>
      <c r="AT8" s="17" t="str">
        <f t="shared" si="32"/>
        <v>-</v>
      </c>
      <c r="AU8" s="10"/>
      <c r="AV8" s="18" t="str">
        <f t="shared" si="12"/>
        <v>-</v>
      </c>
      <c r="AW8" s="17" t="str">
        <f t="shared" si="21"/>
        <v>-</v>
      </c>
      <c r="AX8" s="17">
        <f>SUM(МП_Periods!AO8,МП_Periods!AO21,МП_Periods!AO34,МП_Periods!AO47,МП_Periods!AO60,МП_Periods!AO73,МП_Periods!AO86,МП_Periods!AO99,МП_Periods!AO112,МП_Periods!AO125,МП_Periods!AO138,МП_Periods!AO151)</f>
        <v>0</v>
      </c>
      <c r="AY8" s="10"/>
      <c r="AZ8" s="18" t="str">
        <f t="shared" si="13"/>
        <v>-</v>
      </c>
      <c r="BA8" s="13" t="str">
        <f t="shared" si="14"/>
        <v>-</v>
      </c>
      <c r="BB8" s="17" t="str">
        <f t="shared" si="15"/>
        <v>-</v>
      </c>
      <c r="BC8" s="18" t="str">
        <f t="shared" si="16"/>
        <v>-</v>
      </c>
      <c r="BD8" s="13" t="str">
        <f t="shared" si="17"/>
        <v>-</v>
      </c>
      <c r="BE8" s="10"/>
      <c r="BF8" s="18" t="str">
        <f t="shared" si="18"/>
        <v>-</v>
      </c>
      <c r="BG8" s="13" t="str">
        <f t="shared" si="19"/>
        <v>-</v>
      </c>
      <c r="BH8" s="17" t="str">
        <f t="shared" si="20"/>
        <v>-</v>
      </c>
      <c r="BI8" s="10"/>
    </row>
    <row r="9" spans="1:61" ht="30.75" customHeight="1" x14ac:dyDescent="0.3">
      <c r="A9" s="10"/>
      <c r="B9" s="11"/>
      <c r="C9" s="12"/>
      <c r="D9" s="12"/>
      <c r="E9" s="10"/>
      <c r="F9" s="37"/>
      <c r="G9" s="37"/>
      <c r="H9" s="36"/>
      <c r="I9" s="37"/>
      <c r="J9" s="37"/>
      <c r="K9" s="37"/>
      <c r="L9" s="37"/>
      <c r="M9" s="37"/>
      <c r="N9" s="37"/>
      <c r="O9" s="37"/>
      <c r="P9" s="37"/>
      <c r="Q9" s="37"/>
      <c r="R9" s="10"/>
      <c r="S9" s="13"/>
      <c r="T9" s="14" t="s">
        <v>33</v>
      </c>
      <c r="U9" s="17" t="str">
        <f t="shared" si="22"/>
        <v>-</v>
      </c>
      <c r="V9" s="16">
        <f>IFERROR(МП_Periods!I9+МП_Periods!I22+МП_Periods!I35+МП_Periods!I48+МП_Periods!I61+МП_Periods!I74+МП_Periods!I87+МП_Periods!I100+МП_Periods!I113+МП_Periods!I126+МП_Periods!I139+МП_Periods!I152,"-")</f>
        <v>0</v>
      </c>
      <c r="W9" s="10"/>
      <c r="X9" s="15">
        <f>SUM(МП_Periods!K9,МП_Periods!K22,МП_Periods!K35,МП_Periods!K48,МП_Periods!K61,МП_Periods!K74,МП_Periods!K87,МП_Periods!K100,МП_Periods!K113,МП_Periods!K126,МП_Periods!K139,МП_Periods!K152)</f>
        <v>0</v>
      </c>
      <c r="Y9" s="18" t="str">
        <f t="shared" si="23"/>
        <v>-</v>
      </c>
      <c r="Z9" s="17">
        <f>SUM(МП_Periods!M9,МП_Periods!M22,МП_Periods!M35,МП_Periods!M48,МП_Periods!M61,МП_Periods!M74,МП_Periods!M87,МП_Periods!M100,МП_Periods!M113,МП_Periods!M126,МП_Periods!M139,МП_Periods!M152)</f>
        <v>0</v>
      </c>
      <c r="AA9" s="18" t="str">
        <f t="shared" si="24"/>
        <v>-</v>
      </c>
      <c r="AB9" s="15">
        <f>SUM(МП_Periods!O9,МП_Periods!O22,МП_Periods!O35,МП_Periods!O48,МП_Periods!O61,МП_Periods!O74,МП_Periods!O87,МП_Periods!O100,МП_Periods!O113,МП_Periods!O126,МП_Periods!O139,МП_Periods!O152)</f>
        <v>0</v>
      </c>
      <c r="AC9" s="15">
        <f>SUM(МП_Periods!P9,МП_Periods!P22,МП_Periods!P35,МП_Periods!P48,МП_Periods!P61,МП_Periods!P74,МП_Periods!P87,МП_Periods!P100,МП_Periods!P113,МП_Periods!P126,МП_Periods!P139,МП_Periods!P152)</f>
        <v>0</v>
      </c>
      <c r="AD9" s="30" t="str">
        <f t="shared" si="25"/>
        <v>-</v>
      </c>
      <c r="AE9" s="10"/>
      <c r="AF9" s="16">
        <f>SUM(МП_Periods!S9,МП_Periods!S22,МП_Periods!S35,МП_Periods!S48,МП_Periods!S61,МП_Periods!S74,МП_Periods!S87,МП_Periods!S100,МП_Periods!S113,МП_Periods!S126,МП_Periods!S139,МП_Periods!S152)</f>
        <v>0</v>
      </c>
      <c r="AG9" s="13" t="str">
        <f t="shared" si="26"/>
        <v>-</v>
      </c>
      <c r="AH9" s="13" t="str">
        <f>IFERROR(МП_Periods!U9+МП_Periods!U22+МП_Periods!U35+МП_Periods!U48+МП_Periods!U61+МП_Periods!U74+МП_Periods!U87+МП_Periods!U100+МП_Periods!U113+МП_Periods!U126+МП_Periods!U139+МП_Periods!U152,"-")</f>
        <v>-</v>
      </c>
      <c r="AI9" s="17" t="str">
        <f t="shared" si="27"/>
        <v>-</v>
      </c>
      <c r="AJ9" s="17" t="str">
        <f t="shared" si="28"/>
        <v>-</v>
      </c>
      <c r="AK9" s="16">
        <f>IFERROR(MAX(МП_Periods!X9,МП_Periods!X22,МП_Periods!X35,МП_Periods!X48,МП_Periods!X61,МП_Periods!X74,МП_Periods!X87,МП_Periods!X100,МП_Periods!X113,МП_Periods!X126,МП_Periods!X139,МП_Periods!X152),"-")</f>
        <v>0</v>
      </c>
      <c r="AL9" s="18" t="str">
        <f t="shared" si="7"/>
        <v>-</v>
      </c>
      <c r="AM9" s="10"/>
      <c r="AN9" s="18" t="str">
        <f t="shared" si="29"/>
        <v>-</v>
      </c>
      <c r="AO9" s="16">
        <f>SUM(МП_Periods!AB9,МП_Periods!AB22,МП_Periods!AB35,МП_Periods!AB48,МП_Periods!AB61,МП_Periods!AB74,МП_Periods!AB87,МП_Periods!AB100,МП_Periods!AB113,МП_Periods!AB126,МП_Periods!AB139,МП_Periods!AB152)</f>
        <v>0</v>
      </c>
      <c r="AP9" s="17" t="str">
        <f t="shared" si="30"/>
        <v>-</v>
      </c>
      <c r="AQ9" s="10"/>
      <c r="AR9" s="18" t="str">
        <f t="shared" si="31"/>
        <v>-</v>
      </c>
      <c r="AS9" s="16">
        <f>SUM(МП_Periods!AF9,МП_Periods!AF22,МП_Periods!AF35,МП_Periods!AF48,МП_Periods!AF61,МП_Periods!AF74,МП_Periods!AF87,МП_Periods!AF100,МП_Periods!AF113,МП_Periods!AF126,МП_Periods!AF139,МП_Periods!AF152)</f>
        <v>0</v>
      </c>
      <c r="AT9" s="17" t="str">
        <f t="shared" si="32"/>
        <v>-</v>
      </c>
      <c r="AU9" s="10"/>
      <c r="AV9" s="18" t="str">
        <f t="shared" si="12"/>
        <v>-</v>
      </c>
      <c r="AW9" s="17" t="str">
        <f t="shared" si="21"/>
        <v>-</v>
      </c>
      <c r="AX9" s="17">
        <f>SUM(МП_Periods!AO9,МП_Periods!AO22,МП_Periods!AO35,МП_Periods!AO48,МП_Periods!AO61,МП_Periods!AO74,МП_Periods!AO87,МП_Periods!AO100,МП_Periods!AO113,МП_Periods!AO126,МП_Periods!AO139,МП_Periods!AO152)</f>
        <v>0</v>
      </c>
      <c r="AY9" s="10"/>
      <c r="AZ9" s="18" t="str">
        <f t="shared" si="13"/>
        <v>-</v>
      </c>
      <c r="BA9" s="13" t="str">
        <f t="shared" si="14"/>
        <v>-</v>
      </c>
      <c r="BB9" s="17" t="str">
        <f t="shared" si="15"/>
        <v>-</v>
      </c>
      <c r="BC9" s="18" t="str">
        <f t="shared" si="16"/>
        <v>-</v>
      </c>
      <c r="BD9" s="13" t="str">
        <f t="shared" si="17"/>
        <v>-</v>
      </c>
      <c r="BE9" s="10"/>
      <c r="BF9" s="18" t="str">
        <f t="shared" si="18"/>
        <v>-</v>
      </c>
      <c r="BG9" s="13" t="str">
        <f t="shared" si="19"/>
        <v>-</v>
      </c>
      <c r="BH9" s="17" t="str">
        <f t="shared" si="20"/>
        <v>-</v>
      </c>
      <c r="BI9" s="10"/>
    </row>
    <row r="10" spans="1:61" ht="30.75" customHeight="1" x14ac:dyDescent="0.3">
      <c r="A10" s="10"/>
      <c r="B10" s="11"/>
      <c r="C10" s="12"/>
      <c r="D10" s="12"/>
      <c r="E10" s="10"/>
      <c r="F10" s="37"/>
      <c r="G10" s="37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10"/>
      <c r="S10" s="13"/>
      <c r="T10" s="14" t="s">
        <v>33</v>
      </c>
      <c r="U10" s="17" t="str">
        <f t="shared" si="0"/>
        <v>-</v>
      </c>
      <c r="V10" s="16">
        <f>IFERROR(МП_Periods!I10+МП_Periods!I23+МП_Periods!I36+МП_Periods!I49+МП_Periods!I62+МП_Periods!I75+МП_Periods!I88+МП_Periods!I101+МП_Periods!I114+МП_Periods!I127+МП_Periods!I140+МП_Periods!I153,"-")</f>
        <v>0</v>
      </c>
      <c r="W10" s="10"/>
      <c r="X10" s="15">
        <f>SUM(МП_Periods!K10,МП_Periods!K23,МП_Periods!K36,МП_Periods!K49,МП_Periods!K62,МП_Periods!K75,МП_Periods!K88,МП_Periods!K101,МП_Periods!K114,МП_Periods!K127,МП_Periods!K140,МП_Periods!K153)</f>
        <v>0</v>
      </c>
      <c r="Y10" s="18" t="str">
        <f t="shared" si="1"/>
        <v>-</v>
      </c>
      <c r="Z10" s="17">
        <f>SUM(МП_Periods!M10,МП_Periods!M23,МП_Periods!M36,МП_Periods!M49,МП_Periods!M62,МП_Periods!M75,МП_Periods!M88,МП_Periods!M101,МП_Periods!M114,МП_Periods!M127,МП_Periods!M140,МП_Periods!M153)</f>
        <v>0</v>
      </c>
      <c r="AA10" s="18" t="str">
        <f t="shared" si="2"/>
        <v>-</v>
      </c>
      <c r="AB10" s="15">
        <f>SUM(МП_Periods!O10,МП_Periods!O23,МП_Periods!O36,МП_Periods!O49,МП_Periods!O62,МП_Periods!O75,МП_Periods!O88,МП_Periods!O101,МП_Periods!O114,МП_Periods!O127,МП_Periods!O140,МП_Periods!O153)</f>
        <v>0</v>
      </c>
      <c r="AC10" s="15">
        <f>SUM(МП_Periods!P10,МП_Periods!P23,МП_Periods!P36,МП_Periods!P49,МП_Periods!P62,МП_Periods!P75,МП_Periods!P88,МП_Periods!P101,МП_Periods!P114,МП_Periods!P127,МП_Periods!P140,МП_Periods!P153)</f>
        <v>0</v>
      </c>
      <c r="AD10" s="30" t="str">
        <f t="shared" si="3"/>
        <v>-</v>
      </c>
      <c r="AE10" s="10"/>
      <c r="AF10" s="16">
        <f>SUM(МП_Periods!S10,МП_Periods!S23,МП_Periods!S36,МП_Periods!S49,МП_Periods!S62,МП_Periods!S75,МП_Periods!S88,МП_Periods!S101,МП_Periods!S114,МП_Periods!S127,МП_Periods!S140,МП_Periods!S153)</f>
        <v>0</v>
      </c>
      <c r="AG10" s="13" t="str">
        <f t="shared" si="4"/>
        <v>-</v>
      </c>
      <c r="AH10" s="13" t="str">
        <f>IFERROR(МП_Periods!U10+МП_Periods!U23+МП_Periods!U36+МП_Periods!U49+МП_Periods!U62+МП_Periods!U75+МП_Periods!U88+МП_Periods!U101+МП_Periods!U114+МП_Periods!U127+МП_Periods!U140+МП_Periods!U153,"-")</f>
        <v>-</v>
      </c>
      <c r="AI10" s="17" t="str">
        <f t="shared" si="5"/>
        <v>-</v>
      </c>
      <c r="AJ10" s="17" t="str">
        <f t="shared" si="6"/>
        <v>-</v>
      </c>
      <c r="AK10" s="16">
        <f>IFERROR(MAX(МП_Periods!X10,МП_Periods!X23,МП_Periods!X36,МП_Periods!X49,МП_Periods!X62,МП_Periods!X75,МП_Periods!X88,МП_Periods!X101,МП_Periods!X114,МП_Periods!X127,МП_Periods!X140,МП_Periods!X153),"-")</f>
        <v>0</v>
      </c>
      <c r="AL10" s="18" t="str">
        <f t="shared" si="7"/>
        <v>-</v>
      </c>
      <c r="AM10" s="10"/>
      <c r="AN10" s="18" t="str">
        <f t="shared" si="8"/>
        <v>-</v>
      </c>
      <c r="AO10" s="16">
        <f>SUM(МП_Periods!AB10,МП_Periods!AB23,МП_Periods!AB36,МП_Periods!AB49,МП_Periods!AB62,МП_Periods!AB75,МП_Periods!AB88,МП_Periods!AB101,МП_Periods!AB114,МП_Periods!AB127,МП_Periods!AB140,МП_Periods!AB153)</f>
        <v>0</v>
      </c>
      <c r="AP10" s="17" t="str">
        <f t="shared" si="9"/>
        <v>-</v>
      </c>
      <c r="AQ10" s="10"/>
      <c r="AR10" s="18" t="str">
        <f t="shared" si="10"/>
        <v>-</v>
      </c>
      <c r="AS10" s="16">
        <f>SUM(МП_Periods!AF10,МП_Periods!AF23,МП_Periods!AF36,МП_Periods!AF49,МП_Periods!AF62,МП_Periods!AF75,МП_Periods!AF88,МП_Periods!AF101,МП_Periods!AF114,МП_Periods!AF127,МП_Periods!AF140,МП_Periods!AF153)</f>
        <v>0</v>
      </c>
      <c r="AT10" s="17" t="str">
        <f t="shared" si="11"/>
        <v>-</v>
      </c>
      <c r="AU10" s="10"/>
      <c r="AV10" s="18" t="str">
        <f t="shared" si="12"/>
        <v>-</v>
      </c>
      <c r="AW10" s="17" t="str">
        <f t="shared" si="21"/>
        <v>-</v>
      </c>
      <c r="AX10" s="17">
        <f>SUM(МП_Periods!AO10,МП_Periods!AO23,МП_Periods!AO36,МП_Periods!AO49,МП_Periods!AO62,МП_Periods!AO75,МП_Periods!AO88,МП_Periods!AO101,МП_Periods!AO114,МП_Periods!AO127,МП_Periods!AO140,МП_Periods!AO153)</f>
        <v>0</v>
      </c>
      <c r="AY10" s="10"/>
      <c r="AZ10" s="18" t="str">
        <f t="shared" si="13"/>
        <v>-</v>
      </c>
      <c r="BA10" s="13" t="str">
        <f t="shared" si="14"/>
        <v>-</v>
      </c>
      <c r="BB10" s="17" t="str">
        <f t="shared" si="15"/>
        <v>-</v>
      </c>
      <c r="BC10" s="18" t="str">
        <f t="shared" si="16"/>
        <v>-</v>
      </c>
      <c r="BD10" s="13" t="str">
        <f t="shared" si="17"/>
        <v>-</v>
      </c>
      <c r="BE10" s="10"/>
      <c r="BF10" s="18" t="str">
        <f t="shared" si="18"/>
        <v>-</v>
      </c>
      <c r="BG10" s="13" t="str">
        <f t="shared" si="19"/>
        <v>-</v>
      </c>
      <c r="BH10" s="17" t="str">
        <f t="shared" si="20"/>
        <v>-</v>
      </c>
      <c r="BI10" s="10"/>
    </row>
    <row r="11" spans="1:61" ht="30.75" customHeight="1" x14ac:dyDescent="0.3">
      <c r="A11" s="10"/>
      <c r="B11" s="11"/>
      <c r="C11" s="12"/>
      <c r="D11" s="12"/>
      <c r="E11" s="10"/>
      <c r="F11" s="37"/>
      <c r="G11" s="37"/>
      <c r="H11" s="37"/>
      <c r="I11" s="36"/>
      <c r="J11" s="36"/>
      <c r="K11" s="36"/>
      <c r="L11" s="36"/>
      <c r="M11" s="36"/>
      <c r="N11" s="36"/>
      <c r="O11" s="36"/>
      <c r="P11" s="36"/>
      <c r="Q11" s="36"/>
      <c r="R11" s="10"/>
      <c r="S11" s="13"/>
      <c r="T11" s="14" t="s">
        <v>33</v>
      </c>
      <c r="U11" s="17" t="str">
        <f t="shared" si="0"/>
        <v>-</v>
      </c>
      <c r="V11" s="16">
        <f>IFERROR(МП_Periods!I11+МП_Periods!I24+МП_Periods!I37+МП_Periods!I50+МП_Periods!I63+МП_Periods!I76+МП_Periods!I89+МП_Periods!I102+МП_Periods!I115+МП_Periods!I128+МП_Periods!I141+МП_Periods!I154,"-")</f>
        <v>0</v>
      </c>
      <c r="W11" s="10"/>
      <c r="X11" s="15">
        <f>SUM(МП_Periods!K11,МП_Periods!K24,МП_Periods!K37,МП_Periods!K50,МП_Periods!K63,МП_Periods!K76,МП_Periods!K89,МП_Periods!K102,МП_Periods!K115,МП_Periods!K128,МП_Periods!K141,МП_Periods!K154)</f>
        <v>0</v>
      </c>
      <c r="Y11" s="18" t="str">
        <f t="shared" si="1"/>
        <v>-</v>
      </c>
      <c r="Z11" s="17">
        <f>SUM(МП_Periods!M11,МП_Periods!M24,МП_Periods!M37,МП_Periods!M50,МП_Periods!M63,МП_Periods!M76,МП_Periods!M89,МП_Periods!M102,МП_Periods!M115,МП_Periods!M128,МП_Periods!M141,МП_Periods!M154)</f>
        <v>0</v>
      </c>
      <c r="AA11" s="18" t="str">
        <f t="shared" si="2"/>
        <v>-</v>
      </c>
      <c r="AB11" s="15">
        <f>SUM(МП_Periods!O11,МП_Periods!O24,МП_Periods!O37,МП_Periods!O50,МП_Periods!O63,МП_Periods!O76,МП_Periods!O89,МП_Periods!O102,МП_Periods!O115,МП_Periods!O128,МП_Periods!O141,МП_Periods!O154)</f>
        <v>0</v>
      </c>
      <c r="AC11" s="15">
        <f>SUM(МП_Periods!P11,МП_Periods!P24,МП_Periods!P37,МП_Periods!P50,МП_Periods!P63,МП_Periods!P76,МП_Periods!P89,МП_Periods!P102,МП_Periods!P115,МП_Periods!P128,МП_Periods!P141,МП_Periods!P154)</f>
        <v>0</v>
      </c>
      <c r="AD11" s="30" t="str">
        <f t="shared" si="3"/>
        <v>-</v>
      </c>
      <c r="AE11" s="10"/>
      <c r="AF11" s="16">
        <f>SUM(МП_Periods!S11,МП_Periods!S24,МП_Periods!S37,МП_Periods!S50,МП_Periods!S63,МП_Periods!S76,МП_Periods!S89,МП_Periods!S102,МП_Periods!S115,МП_Periods!S128,МП_Periods!S141,МП_Periods!S154)</f>
        <v>0</v>
      </c>
      <c r="AG11" s="13" t="str">
        <f t="shared" si="4"/>
        <v>-</v>
      </c>
      <c r="AH11" s="13" t="str">
        <f>IFERROR(МП_Periods!U11+МП_Periods!U24+МП_Periods!U37+МП_Periods!U50+МП_Periods!U63+МП_Periods!U76+МП_Periods!U89+МП_Periods!U102+МП_Periods!U115+МП_Periods!U128+МП_Periods!U141+МП_Periods!U154,"-")</f>
        <v>-</v>
      </c>
      <c r="AI11" s="17" t="str">
        <f t="shared" si="5"/>
        <v>-</v>
      </c>
      <c r="AJ11" s="17" t="str">
        <f t="shared" si="6"/>
        <v>-</v>
      </c>
      <c r="AK11" s="16">
        <f>IFERROR(MAX(МП_Periods!X11,МП_Periods!X24,МП_Periods!X37,МП_Periods!X50,МП_Periods!X63,МП_Periods!X76,МП_Periods!X89,МП_Periods!X102,МП_Periods!X115,МП_Periods!X128,МП_Periods!X141,МП_Periods!X154),"-")</f>
        <v>0</v>
      </c>
      <c r="AL11" s="18" t="str">
        <f t="shared" si="7"/>
        <v>-</v>
      </c>
      <c r="AM11" s="10"/>
      <c r="AN11" s="18" t="str">
        <f t="shared" si="8"/>
        <v>-</v>
      </c>
      <c r="AO11" s="16">
        <f>SUM(МП_Periods!AB11,МП_Periods!AB24,МП_Periods!AB37,МП_Periods!AB50,МП_Periods!AB63,МП_Periods!AB76,МП_Periods!AB89,МП_Periods!AB102,МП_Periods!AB115,МП_Periods!AB128,МП_Periods!AB141,МП_Periods!AB154)</f>
        <v>0</v>
      </c>
      <c r="AP11" s="17" t="str">
        <f t="shared" si="9"/>
        <v>-</v>
      </c>
      <c r="AQ11" s="10"/>
      <c r="AR11" s="18" t="str">
        <f t="shared" si="10"/>
        <v>-</v>
      </c>
      <c r="AS11" s="16">
        <f>SUM(МП_Periods!AF11,МП_Periods!AF24,МП_Periods!AF37,МП_Periods!AF50,МП_Periods!AF63,МП_Periods!AF76,МП_Periods!AF89,МП_Periods!AF102,МП_Periods!AF115,МП_Periods!AF128,МП_Periods!AF141,МП_Periods!AF154)</f>
        <v>0</v>
      </c>
      <c r="AT11" s="17" t="str">
        <f t="shared" si="11"/>
        <v>-</v>
      </c>
      <c r="AU11" s="10"/>
      <c r="AV11" s="18" t="str">
        <f t="shared" si="12"/>
        <v>-</v>
      </c>
      <c r="AW11" s="17" t="str">
        <f t="shared" si="21"/>
        <v>-</v>
      </c>
      <c r="AX11" s="17">
        <f>SUM(МП_Periods!AO11,МП_Periods!AO24,МП_Periods!AO37,МП_Periods!AO50,МП_Periods!AO63,МП_Periods!AO76,МП_Periods!AO89,МП_Periods!AO102,МП_Periods!AO115,МП_Periods!AO128,МП_Periods!AO141,МП_Periods!AO154)</f>
        <v>0</v>
      </c>
      <c r="AY11" s="10"/>
      <c r="AZ11" s="18" t="str">
        <f t="shared" si="13"/>
        <v>-</v>
      </c>
      <c r="BA11" s="13" t="str">
        <f t="shared" si="14"/>
        <v>-</v>
      </c>
      <c r="BB11" s="17" t="str">
        <f t="shared" si="15"/>
        <v>-</v>
      </c>
      <c r="BC11" s="18" t="str">
        <f t="shared" si="16"/>
        <v>-</v>
      </c>
      <c r="BD11" s="13" t="str">
        <f t="shared" si="17"/>
        <v>-</v>
      </c>
      <c r="BE11" s="10"/>
      <c r="BF11" s="18" t="str">
        <f t="shared" si="18"/>
        <v>-</v>
      </c>
      <c r="BG11" s="13" t="str">
        <f t="shared" si="19"/>
        <v>-</v>
      </c>
      <c r="BH11" s="17" t="str">
        <f t="shared" si="20"/>
        <v>-</v>
      </c>
      <c r="BI11" s="10"/>
    </row>
    <row r="12" spans="1:61" ht="30.75" customHeight="1" x14ac:dyDescent="0.3">
      <c r="A12" s="10"/>
      <c r="B12" s="11"/>
      <c r="C12" s="12"/>
      <c r="D12" s="12"/>
      <c r="E12" s="10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10"/>
      <c r="S12" s="13"/>
      <c r="T12" s="14" t="s">
        <v>33</v>
      </c>
      <c r="U12" s="17" t="str">
        <f t="shared" si="0"/>
        <v>-</v>
      </c>
      <c r="V12" s="16">
        <f>IFERROR(МП_Periods!I12+МП_Periods!I25+МП_Periods!I38+МП_Periods!I51+МП_Periods!I64+МП_Periods!I77+МП_Periods!I90+МП_Periods!I103+МП_Periods!I116+МП_Periods!I129+МП_Periods!I142+МП_Periods!I155,"-")</f>
        <v>0</v>
      </c>
      <c r="W12" s="10"/>
      <c r="X12" s="15">
        <f>SUM(МП_Periods!K12,МП_Periods!K25,МП_Periods!K38,МП_Periods!K51,МП_Periods!K64,МП_Periods!K77,МП_Periods!K90,МП_Periods!K103,МП_Periods!K116,МП_Periods!K129,МП_Periods!K142,МП_Periods!K155)</f>
        <v>0</v>
      </c>
      <c r="Y12" s="18" t="str">
        <f t="shared" si="1"/>
        <v>-</v>
      </c>
      <c r="Z12" s="17">
        <f>SUM(МП_Periods!M12,МП_Periods!M25,МП_Periods!M38,МП_Periods!M51,МП_Periods!M64,МП_Periods!M77,МП_Periods!M90,МП_Periods!M103,МП_Periods!M116,МП_Periods!M129,МП_Periods!M142,МП_Periods!M155)</f>
        <v>0</v>
      </c>
      <c r="AA12" s="18" t="str">
        <f t="shared" si="2"/>
        <v>-</v>
      </c>
      <c r="AB12" s="15">
        <f>SUM(МП_Periods!O12,МП_Periods!O25,МП_Periods!O38,МП_Periods!O51,МП_Periods!O64,МП_Periods!O77,МП_Periods!O90,МП_Periods!O103,МП_Periods!O116,МП_Periods!O129,МП_Periods!O142,МП_Periods!O155)</f>
        <v>0</v>
      </c>
      <c r="AC12" s="15">
        <f>SUM(МП_Periods!P12,МП_Periods!P25,МП_Periods!P38,МП_Periods!P51,МП_Periods!P64,МП_Periods!P77,МП_Periods!P90,МП_Periods!P103,МП_Periods!P116,МП_Periods!P129,МП_Periods!P142,МП_Periods!P155)</f>
        <v>0</v>
      </c>
      <c r="AD12" s="30" t="str">
        <f t="shared" si="3"/>
        <v>-</v>
      </c>
      <c r="AE12" s="10"/>
      <c r="AF12" s="16">
        <f>SUM(МП_Periods!S12,МП_Periods!S25,МП_Periods!S38,МП_Periods!S51,МП_Periods!S64,МП_Periods!S77,МП_Periods!S90,МП_Periods!S103,МП_Periods!S116,МП_Periods!S129,МП_Periods!S142,МП_Periods!S155)</f>
        <v>0</v>
      </c>
      <c r="AG12" s="13" t="str">
        <f t="shared" si="4"/>
        <v>-</v>
      </c>
      <c r="AH12" s="13" t="str">
        <f>IFERROR(МП_Periods!U12+МП_Periods!U25+МП_Periods!U38+МП_Periods!U51+МП_Periods!U64+МП_Periods!U77+МП_Periods!U90+МП_Periods!U103+МП_Periods!U116+МП_Periods!U129+МП_Periods!U142+МП_Periods!U155,"-")</f>
        <v>-</v>
      </c>
      <c r="AI12" s="17" t="str">
        <f t="shared" si="5"/>
        <v>-</v>
      </c>
      <c r="AJ12" s="17" t="str">
        <f t="shared" si="6"/>
        <v>-</v>
      </c>
      <c r="AK12" s="16">
        <f>IFERROR(MAX(МП_Periods!X12,МП_Periods!X25,МП_Periods!X38,МП_Periods!X51,МП_Periods!X64,МП_Periods!X77,МП_Periods!X90,МП_Periods!X103,МП_Periods!X116,МП_Periods!X129,МП_Periods!X142,МП_Periods!X155),"-")</f>
        <v>0</v>
      </c>
      <c r="AL12" s="18" t="str">
        <f t="shared" si="7"/>
        <v>-</v>
      </c>
      <c r="AM12" s="10"/>
      <c r="AN12" s="18" t="str">
        <f t="shared" si="8"/>
        <v>-</v>
      </c>
      <c r="AO12" s="16">
        <f>SUM(МП_Periods!AB12,МП_Periods!AB25,МП_Periods!AB38,МП_Periods!AB51,МП_Periods!AB64,МП_Periods!AB77,МП_Periods!AB90,МП_Periods!AB103,МП_Periods!AB116,МП_Periods!AB129,МП_Periods!AB142,МП_Periods!AB155)</f>
        <v>0</v>
      </c>
      <c r="AP12" s="17" t="str">
        <f t="shared" si="9"/>
        <v>-</v>
      </c>
      <c r="AQ12" s="10"/>
      <c r="AR12" s="18" t="str">
        <f t="shared" si="10"/>
        <v>-</v>
      </c>
      <c r="AS12" s="16">
        <f>SUM(МП_Periods!AF12,МП_Periods!AF25,МП_Periods!AF38,МП_Periods!AF51,МП_Periods!AF64,МП_Periods!AF77,МП_Periods!AF90,МП_Periods!AF103,МП_Periods!AF116,МП_Periods!AF129,МП_Periods!AF142,МП_Periods!AF155)</f>
        <v>0</v>
      </c>
      <c r="AT12" s="17" t="str">
        <f t="shared" si="11"/>
        <v>-</v>
      </c>
      <c r="AU12" s="10"/>
      <c r="AV12" s="18" t="str">
        <f t="shared" si="12"/>
        <v>-</v>
      </c>
      <c r="AW12" s="17" t="str">
        <f t="shared" si="21"/>
        <v>-</v>
      </c>
      <c r="AX12" s="17">
        <f>SUM(МП_Periods!AO12,МП_Periods!AO25,МП_Periods!AO38,МП_Periods!AO51,МП_Periods!AO64,МП_Periods!AO77,МП_Periods!AO90,МП_Periods!AO103,МП_Periods!AO116,МП_Periods!AO129,МП_Periods!AO142,МП_Periods!AO155)</f>
        <v>0</v>
      </c>
      <c r="AY12" s="10"/>
      <c r="AZ12" s="18" t="str">
        <f t="shared" si="13"/>
        <v>-</v>
      </c>
      <c r="BA12" s="13" t="str">
        <f t="shared" si="14"/>
        <v>-</v>
      </c>
      <c r="BB12" s="17" t="str">
        <f t="shared" si="15"/>
        <v>-</v>
      </c>
      <c r="BC12" s="18" t="str">
        <f t="shared" si="16"/>
        <v>-</v>
      </c>
      <c r="BD12" s="13" t="str">
        <f t="shared" si="17"/>
        <v>-</v>
      </c>
      <c r="BE12" s="10"/>
      <c r="BF12" s="18" t="str">
        <f t="shared" si="18"/>
        <v>-</v>
      </c>
      <c r="BG12" s="13" t="str">
        <f t="shared" si="19"/>
        <v>-</v>
      </c>
      <c r="BH12" s="17" t="str">
        <f t="shared" si="20"/>
        <v>-</v>
      </c>
      <c r="BI12" s="10"/>
    </row>
    <row r="13" spans="1:61" ht="17.25" customHeight="1" x14ac:dyDescent="0.3">
      <c r="A13" s="22"/>
      <c r="B13" s="6" t="s">
        <v>34</v>
      </c>
      <c r="C13" s="9" t="s">
        <v>35</v>
      </c>
      <c r="D13" s="9" t="s">
        <v>35</v>
      </c>
      <c r="E13" s="22"/>
      <c r="F13" s="9" t="s">
        <v>35</v>
      </c>
      <c r="G13" s="9" t="s">
        <v>35</v>
      </c>
      <c r="H13" s="9" t="s">
        <v>35</v>
      </c>
      <c r="I13" s="9" t="s">
        <v>35</v>
      </c>
      <c r="J13" s="9" t="s">
        <v>35</v>
      </c>
      <c r="K13" s="9" t="s">
        <v>35</v>
      </c>
      <c r="L13" s="9" t="s">
        <v>35</v>
      </c>
      <c r="M13" s="9" t="s">
        <v>35</v>
      </c>
      <c r="N13" s="9" t="s">
        <v>35</v>
      </c>
      <c r="O13" s="9" t="s">
        <v>35</v>
      </c>
      <c r="P13" s="9" t="s">
        <v>35</v>
      </c>
      <c r="Q13" s="9" t="s">
        <v>35</v>
      </c>
      <c r="R13" s="22"/>
      <c r="S13" s="9" t="s">
        <v>35</v>
      </c>
      <c r="T13" s="6" t="s">
        <v>35</v>
      </c>
      <c r="U13" s="5" t="str">
        <f>IFERROR(X13/V13,"-")</f>
        <v>-</v>
      </c>
      <c r="V13" s="25">
        <f>SUM(V3:V12)</f>
        <v>0</v>
      </c>
      <c r="W13" s="22"/>
      <c r="X13" s="23">
        <f>IFERROR(SUM(X3:X12),"-")</f>
        <v>0</v>
      </c>
      <c r="Y13" s="6" t="s">
        <v>35</v>
      </c>
      <c r="Z13" s="23">
        <f>IFERROR(SUM(Z3:Z12),"-")</f>
        <v>0</v>
      </c>
      <c r="AA13" s="9" t="s">
        <v>35</v>
      </c>
      <c r="AB13" s="23">
        <f>IFERROR(SUM(AB3:AB12),"-")</f>
        <v>0</v>
      </c>
      <c r="AC13" s="23">
        <f>IFERROR(SUM(AC3:AC12),"-")</f>
        <v>0</v>
      </c>
      <c r="AD13" s="24">
        <v>1</v>
      </c>
      <c r="AE13" s="22"/>
      <c r="AF13" s="25">
        <f>IFERROR(SUM(AF3:AF12),"-")</f>
        <v>0</v>
      </c>
      <c r="AG13" s="25" t="s">
        <v>35</v>
      </c>
      <c r="AH13" s="25" t="s">
        <v>35</v>
      </c>
      <c r="AI13" s="23" t="str">
        <f t="shared" si="5"/>
        <v>-</v>
      </c>
      <c r="AJ13" s="23" t="str">
        <f t="shared" si="6"/>
        <v>-</v>
      </c>
      <c r="AK13" s="6" t="s">
        <v>35</v>
      </c>
      <c r="AL13" s="6" t="s">
        <v>35</v>
      </c>
      <c r="AM13" s="22"/>
      <c r="AN13" s="24" t="str">
        <f t="shared" si="8"/>
        <v>-</v>
      </c>
      <c r="AO13" s="25">
        <f>IFERROR(SUM(AO3:AO12),"-")</f>
        <v>0</v>
      </c>
      <c r="AP13" s="23" t="str">
        <f t="shared" si="9"/>
        <v>-</v>
      </c>
      <c r="AQ13" s="22"/>
      <c r="AR13" s="24" t="str">
        <f t="shared" si="10"/>
        <v>-</v>
      </c>
      <c r="AS13" s="25">
        <f>IFERROR(SUM(AS3:AS12),"-")</f>
        <v>0</v>
      </c>
      <c r="AT13" s="23" t="str">
        <f t="shared" si="11"/>
        <v>-</v>
      </c>
      <c r="AU13" s="22"/>
      <c r="AV13" s="24" t="str">
        <f t="shared" si="12"/>
        <v>-</v>
      </c>
      <c r="AW13" s="23" t="str">
        <f>IFERROR(AX13/#REF!,"-")</f>
        <v>-</v>
      </c>
      <c r="AX13" s="23">
        <f>IFERROR(SUM(AX3:AX12),"-")</f>
        <v>0</v>
      </c>
      <c r="AY13" s="22"/>
      <c r="AZ13" s="24" t="str">
        <f t="shared" si="13"/>
        <v>-</v>
      </c>
      <c r="BA13" s="25">
        <f>IFERROR(SUM(BA3:BA12),"-")</f>
        <v>0</v>
      </c>
      <c r="BB13" s="23" t="str">
        <f t="shared" si="15"/>
        <v>-</v>
      </c>
      <c r="BC13" s="24" t="str">
        <f t="shared" si="16"/>
        <v>-</v>
      </c>
      <c r="BD13" s="25">
        <f>IFERROR(SUM(BD3:BD12),"-")</f>
        <v>0</v>
      </c>
      <c r="BE13" s="22"/>
      <c r="BF13" s="24" t="str">
        <f t="shared" si="18"/>
        <v>-</v>
      </c>
      <c r="BG13" s="25">
        <f>IFERROR(SUM(BG3:BG12),"-")</f>
        <v>0</v>
      </c>
      <c r="BH13" s="23" t="str">
        <f t="shared" si="20"/>
        <v>-</v>
      </c>
      <c r="BI13" s="22"/>
    </row>
    <row r="14" spans="1:61" ht="13.8" x14ac:dyDescent="0.3">
      <c r="A14" s="26"/>
      <c r="B14" s="27"/>
      <c r="C14" s="27"/>
      <c r="D14" s="27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6"/>
      <c r="S14" s="27"/>
      <c r="T14" s="27"/>
      <c r="U14" s="27"/>
      <c r="V14" s="27"/>
      <c r="W14" s="26"/>
      <c r="X14" s="27"/>
      <c r="Y14" s="27"/>
      <c r="Z14" s="27"/>
      <c r="AA14" s="27"/>
      <c r="AB14" s="27"/>
      <c r="AC14" s="27"/>
      <c r="AD14" s="27"/>
      <c r="AE14" s="26"/>
      <c r="AF14" s="27"/>
      <c r="AG14" s="27"/>
      <c r="AH14" s="27"/>
      <c r="AI14" s="27"/>
      <c r="AJ14" s="27"/>
      <c r="AK14" s="27"/>
      <c r="AL14" s="27"/>
      <c r="AM14" s="26"/>
      <c r="AN14" s="27"/>
      <c r="AO14" s="27"/>
      <c r="AP14" s="27"/>
      <c r="AQ14" s="26"/>
      <c r="AR14" s="28"/>
      <c r="AS14" s="28"/>
      <c r="AT14" s="28"/>
      <c r="AU14" s="26"/>
      <c r="AV14" s="28"/>
      <c r="AW14" s="28"/>
      <c r="AX14" s="28"/>
      <c r="AY14" s="26"/>
      <c r="AZ14" s="27"/>
      <c r="BA14" s="27"/>
      <c r="BB14" s="27"/>
      <c r="BC14" s="27"/>
      <c r="BD14" s="27"/>
      <c r="BE14" s="26"/>
      <c r="BF14" s="27"/>
      <c r="BG14" s="27"/>
      <c r="BH14" s="27"/>
      <c r="BI14" s="26"/>
    </row>
    <row r="15" spans="1:61" ht="17.25" customHeight="1" x14ac:dyDescent="0.3">
      <c r="A15" s="26"/>
      <c r="B15" s="12" t="s">
        <v>36</v>
      </c>
      <c r="C15" s="17">
        <f>IFERROR(Z13,"-")</f>
        <v>0</v>
      </c>
      <c r="D15" s="27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6"/>
      <c r="S15" s="27"/>
      <c r="T15" s="27"/>
      <c r="U15" s="27"/>
      <c r="V15" s="27"/>
      <c r="W15" s="26"/>
      <c r="X15" s="27"/>
      <c r="Y15" s="27"/>
      <c r="Z15" s="27"/>
      <c r="AA15" s="27"/>
      <c r="AB15" s="27"/>
      <c r="AC15" s="27"/>
      <c r="AD15" s="27"/>
      <c r="AE15" s="26"/>
      <c r="AF15" s="27"/>
      <c r="AG15" s="27"/>
      <c r="AH15" s="27"/>
      <c r="AI15" s="27"/>
      <c r="AJ15" s="27"/>
      <c r="AK15" s="27"/>
      <c r="AL15" s="27"/>
      <c r="AM15" s="26"/>
      <c r="AN15" s="27"/>
      <c r="AO15" s="27"/>
      <c r="AP15" s="27"/>
      <c r="AQ15" s="26"/>
      <c r="AR15" s="27"/>
      <c r="AS15" s="27"/>
      <c r="AT15" s="27"/>
      <c r="AU15" s="26"/>
      <c r="AV15" s="27"/>
      <c r="AW15" s="27"/>
      <c r="AX15" s="27"/>
      <c r="AY15" s="26"/>
      <c r="AZ15" s="27"/>
      <c r="BA15" s="27"/>
      <c r="BB15" s="27"/>
      <c r="BC15" s="27"/>
      <c r="BD15" s="27"/>
      <c r="BE15" s="26"/>
      <c r="BF15" s="27"/>
      <c r="BG15" s="27"/>
      <c r="BH15" s="27"/>
      <c r="BI15" s="26"/>
    </row>
    <row r="16" spans="1:61" ht="17.25" customHeight="1" x14ac:dyDescent="0.3">
      <c r="A16" s="26"/>
      <c r="B16" s="12" t="s">
        <v>37</v>
      </c>
      <c r="C16" s="17">
        <f>IFERROR((AB13-Z13),"-")</f>
        <v>0</v>
      </c>
      <c r="D16" s="27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6"/>
      <c r="S16" s="27"/>
      <c r="T16" s="27"/>
      <c r="U16" s="27"/>
      <c r="V16" s="27"/>
      <c r="W16" s="26"/>
      <c r="X16" s="27"/>
      <c r="Y16" s="27"/>
      <c r="Z16" s="27"/>
      <c r="AA16" s="27"/>
      <c r="AB16" s="27"/>
      <c r="AC16" s="27"/>
      <c r="AD16" s="27"/>
      <c r="AE16" s="26"/>
      <c r="AF16" s="27"/>
      <c r="AG16" s="27"/>
      <c r="AH16" s="27"/>
      <c r="AI16" s="27"/>
      <c r="AJ16" s="27"/>
      <c r="AK16" s="27"/>
      <c r="AL16" s="27"/>
      <c r="AM16" s="26"/>
      <c r="AN16" s="27"/>
      <c r="AO16" s="27"/>
      <c r="AP16" s="27"/>
      <c r="AQ16" s="26"/>
      <c r="AR16" s="27"/>
      <c r="AS16" s="27"/>
      <c r="AT16" s="27"/>
      <c r="AU16" s="26"/>
      <c r="AV16" s="27"/>
      <c r="AW16" s="27"/>
      <c r="AX16" s="27"/>
      <c r="AY16" s="26"/>
      <c r="AZ16" s="27"/>
      <c r="BA16" s="27"/>
      <c r="BB16" s="27"/>
      <c r="BC16" s="27"/>
      <c r="BD16" s="27"/>
      <c r="BE16" s="26"/>
      <c r="BF16" s="27"/>
      <c r="BG16" s="27"/>
      <c r="BH16" s="27"/>
      <c r="BI16" s="26"/>
    </row>
    <row r="17" spans="1:61" ht="17.25" customHeight="1" x14ac:dyDescent="0.3">
      <c r="A17" s="26"/>
      <c r="B17" s="12" t="s">
        <v>38</v>
      </c>
      <c r="C17" s="17">
        <f>IFERROR(SUM(C15:C16),"-")</f>
        <v>0</v>
      </c>
      <c r="D17" s="27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6"/>
      <c r="S17" s="27"/>
      <c r="T17" s="27"/>
      <c r="U17" s="27"/>
      <c r="V17" s="27"/>
      <c r="W17" s="26"/>
      <c r="X17" s="27"/>
      <c r="Y17" s="27"/>
      <c r="Z17" s="27"/>
      <c r="AA17" s="27"/>
      <c r="AB17" s="27"/>
      <c r="AC17" s="27"/>
      <c r="AD17" s="27"/>
      <c r="AE17" s="26"/>
      <c r="AF17" s="27"/>
      <c r="AG17" s="27"/>
      <c r="AH17" s="27"/>
      <c r="AI17" s="27"/>
      <c r="AJ17" s="27"/>
      <c r="AK17" s="27"/>
      <c r="AL17" s="27"/>
      <c r="AM17" s="26"/>
      <c r="AN17" s="27"/>
      <c r="AO17" s="27"/>
      <c r="AP17" s="27"/>
      <c r="AQ17" s="26"/>
      <c r="AR17" s="27"/>
      <c r="AS17" s="27"/>
      <c r="AT17" s="27"/>
      <c r="AU17" s="26"/>
      <c r="AV17" s="27"/>
      <c r="AW17" s="27"/>
      <c r="AX17" s="27"/>
      <c r="AY17" s="26"/>
      <c r="AZ17" s="27"/>
      <c r="BA17" s="27"/>
      <c r="BB17" s="27"/>
      <c r="BC17" s="27"/>
      <c r="BD17" s="27"/>
      <c r="BE17" s="26"/>
      <c r="BF17" s="27"/>
      <c r="BG17" s="27"/>
      <c r="BH17" s="27"/>
      <c r="BI17" s="26"/>
    </row>
    <row r="18" spans="1:61" ht="17.25" customHeight="1" x14ac:dyDescent="0.3">
      <c r="A18" s="26"/>
      <c r="B18" s="12" t="s">
        <v>39</v>
      </c>
      <c r="C18" s="17">
        <f>IFERROR((AC13-AB13),"-")</f>
        <v>0</v>
      </c>
      <c r="D18" s="27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6"/>
      <c r="S18" s="27"/>
      <c r="T18" s="27"/>
      <c r="U18" s="27"/>
      <c r="V18" s="27"/>
      <c r="W18" s="26"/>
      <c r="X18" s="27"/>
      <c r="Y18" s="27"/>
      <c r="Z18" s="27"/>
      <c r="AA18" s="27"/>
      <c r="AB18" s="27"/>
      <c r="AC18" s="27"/>
      <c r="AD18" s="27"/>
      <c r="AE18" s="26"/>
      <c r="AF18" s="27"/>
      <c r="AG18" s="27"/>
      <c r="AH18" s="27"/>
      <c r="AI18" s="27"/>
      <c r="AJ18" s="27"/>
      <c r="AK18" s="27"/>
      <c r="AL18" s="27"/>
      <c r="AM18" s="26"/>
      <c r="AN18" s="27"/>
      <c r="AO18" s="27"/>
      <c r="AP18" s="27"/>
      <c r="AQ18" s="26"/>
      <c r="AR18" s="27"/>
      <c r="AS18" s="27"/>
      <c r="AT18" s="27"/>
      <c r="AU18" s="26"/>
      <c r="AV18" s="27"/>
      <c r="AW18" s="27"/>
      <c r="AX18" s="27"/>
      <c r="AY18" s="26"/>
      <c r="AZ18" s="27"/>
      <c r="BA18" s="27"/>
      <c r="BB18" s="27"/>
      <c r="BC18" s="27"/>
      <c r="BD18" s="27"/>
      <c r="BE18" s="26"/>
      <c r="BF18" s="27"/>
      <c r="BG18" s="27"/>
      <c r="BH18" s="27"/>
      <c r="BI18" s="26"/>
    </row>
    <row r="19" spans="1:61" ht="17.25" customHeight="1" x14ac:dyDescent="0.3">
      <c r="A19" s="26"/>
      <c r="B19" s="12" t="s">
        <v>40</v>
      </c>
      <c r="C19" s="17">
        <f>IFERROR(SUM(C17:C18),"-")</f>
        <v>0</v>
      </c>
      <c r="D19" s="27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6"/>
      <c r="S19" s="27"/>
      <c r="T19" s="27"/>
      <c r="U19" s="27"/>
      <c r="V19" s="27"/>
      <c r="W19" s="26"/>
      <c r="X19" s="27"/>
      <c r="Y19" s="27"/>
      <c r="Z19" s="27"/>
      <c r="AA19" s="27"/>
      <c r="AB19" s="27"/>
      <c r="AC19" s="27"/>
      <c r="AD19" s="27"/>
      <c r="AE19" s="26"/>
      <c r="AF19" s="27"/>
      <c r="AG19" s="27"/>
      <c r="AH19" s="27"/>
      <c r="AI19" s="27"/>
      <c r="AJ19" s="27"/>
      <c r="AK19" s="27"/>
      <c r="AL19" s="27"/>
      <c r="AM19" s="26"/>
      <c r="AN19" s="27"/>
      <c r="AO19" s="27"/>
      <c r="AP19" s="27"/>
      <c r="AQ19" s="26"/>
      <c r="AR19" s="27"/>
      <c r="AS19" s="27"/>
      <c r="AT19" s="27"/>
      <c r="AU19" s="26"/>
      <c r="AV19" s="27"/>
      <c r="AW19" s="27"/>
      <c r="AX19" s="27"/>
      <c r="AY19" s="26"/>
      <c r="AZ19" s="27"/>
      <c r="BA19" s="27"/>
      <c r="BB19" s="27"/>
      <c r="BC19" s="27"/>
      <c r="BD19" s="27"/>
      <c r="BE19" s="26"/>
      <c r="BF19" s="27"/>
      <c r="BG19" s="27"/>
      <c r="BH19" s="27"/>
      <c r="BI19" s="26"/>
    </row>
    <row r="20" spans="1:61" ht="17.25" customHeight="1" x14ac:dyDescent="0.3">
      <c r="A20" s="26"/>
      <c r="B20" s="12" t="s">
        <v>41</v>
      </c>
      <c r="C20" s="17">
        <v>0</v>
      </c>
      <c r="D20" s="27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6"/>
      <c r="S20" s="27"/>
      <c r="T20" s="27"/>
      <c r="U20" s="27"/>
      <c r="V20" s="27"/>
      <c r="W20" s="26"/>
      <c r="X20" s="27"/>
      <c r="Y20" s="27"/>
      <c r="Z20" s="27"/>
      <c r="AA20" s="27"/>
      <c r="AB20" s="27"/>
      <c r="AC20" s="27"/>
      <c r="AD20" s="27"/>
      <c r="AE20" s="26"/>
      <c r="AF20" s="27"/>
      <c r="AG20" s="27"/>
      <c r="AH20" s="27"/>
      <c r="AI20" s="27"/>
      <c r="AJ20" s="27"/>
      <c r="AK20" s="27"/>
      <c r="AL20" s="27"/>
      <c r="AM20" s="26"/>
      <c r="AN20" s="27"/>
      <c r="AO20" s="27"/>
      <c r="AP20" s="27"/>
      <c r="AQ20" s="26"/>
      <c r="AR20" s="27"/>
      <c r="AS20" s="27"/>
      <c r="AT20" s="27"/>
      <c r="AU20" s="26"/>
      <c r="AV20" s="27"/>
      <c r="AW20" s="27"/>
      <c r="AX20" s="27"/>
      <c r="AY20" s="26"/>
      <c r="AZ20" s="27"/>
      <c r="BA20" s="27"/>
      <c r="BB20" s="27"/>
      <c r="BC20" s="27"/>
      <c r="BD20" s="27"/>
      <c r="BE20" s="26"/>
      <c r="BF20" s="27"/>
      <c r="BG20" s="27"/>
      <c r="BH20" s="27"/>
      <c r="BI20" s="26"/>
    </row>
    <row r="21" spans="1:61" ht="17.25" customHeight="1" x14ac:dyDescent="0.3">
      <c r="A21" s="26"/>
      <c r="B21" s="12" t="s">
        <v>42</v>
      </c>
      <c r="C21" s="17">
        <v>0</v>
      </c>
      <c r="D21" s="27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6"/>
      <c r="S21" s="27"/>
      <c r="T21" s="27"/>
      <c r="U21" s="27"/>
      <c r="V21" s="27"/>
      <c r="W21" s="26"/>
      <c r="X21" s="27"/>
      <c r="Y21" s="27"/>
      <c r="Z21" s="27"/>
      <c r="AA21" s="27"/>
      <c r="AB21" s="27"/>
      <c r="AC21" s="27"/>
      <c r="AD21" s="27"/>
      <c r="AE21" s="26"/>
      <c r="AF21" s="27"/>
      <c r="AG21" s="27"/>
      <c r="AH21" s="27"/>
      <c r="AI21" s="27"/>
      <c r="AJ21" s="27"/>
      <c r="AK21" s="27"/>
      <c r="AL21" s="27"/>
      <c r="AM21" s="26"/>
      <c r="AN21" s="27"/>
      <c r="AO21" s="27"/>
      <c r="AP21" s="27"/>
      <c r="AQ21" s="26"/>
      <c r="AR21" s="27"/>
      <c r="AS21" s="27"/>
      <c r="AT21" s="27"/>
      <c r="AU21" s="26"/>
      <c r="AV21" s="27"/>
      <c r="AW21" s="27"/>
      <c r="AX21" s="27"/>
      <c r="AY21" s="26"/>
      <c r="AZ21" s="27"/>
      <c r="BA21" s="27"/>
      <c r="BB21" s="27"/>
      <c r="BC21" s="27"/>
      <c r="BD21" s="27"/>
      <c r="BE21" s="26"/>
      <c r="BF21" s="27"/>
      <c r="BG21" s="27"/>
      <c r="BH21" s="27"/>
      <c r="BI21" s="26"/>
    </row>
    <row r="22" spans="1:61" ht="17.25" customHeight="1" x14ac:dyDescent="0.3">
      <c r="A22" s="31"/>
      <c r="B22" s="6" t="s">
        <v>43</v>
      </c>
      <c r="C22" s="23">
        <f>IFERROR(SUM(C19:C21),"-")</f>
        <v>0</v>
      </c>
      <c r="D22" s="32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1"/>
      <c r="S22" s="32"/>
      <c r="T22" s="32"/>
      <c r="U22" s="32"/>
      <c r="V22" s="32"/>
      <c r="W22" s="31"/>
      <c r="X22" s="32"/>
      <c r="Y22" s="32"/>
      <c r="Z22" s="32"/>
      <c r="AA22" s="32"/>
      <c r="AB22" s="32"/>
      <c r="AC22" s="32"/>
      <c r="AD22" s="32"/>
      <c r="AE22" s="31"/>
      <c r="AF22" s="32"/>
      <c r="AG22" s="32"/>
      <c r="AH22" s="32"/>
      <c r="AI22" s="32"/>
      <c r="AJ22" s="32"/>
      <c r="AK22" s="32"/>
      <c r="AL22" s="32"/>
      <c r="AM22" s="31"/>
      <c r="AN22" s="32"/>
      <c r="AO22" s="32"/>
      <c r="AP22" s="32"/>
      <c r="AQ22" s="31"/>
      <c r="AR22" s="32"/>
      <c r="AS22" s="32"/>
      <c r="AT22" s="32"/>
      <c r="AU22" s="31"/>
      <c r="AV22" s="32"/>
      <c r="AW22" s="32"/>
      <c r="AX22" s="32"/>
      <c r="AY22" s="31"/>
      <c r="AZ22" s="32"/>
      <c r="BA22" s="32"/>
      <c r="BB22" s="32"/>
      <c r="BC22" s="32"/>
      <c r="BD22" s="32"/>
      <c r="BE22" s="31"/>
      <c r="BF22" s="32"/>
      <c r="BG22" s="32"/>
      <c r="BH22" s="32"/>
      <c r="BI22" s="31"/>
    </row>
    <row r="23" spans="1:61" ht="11.25" customHeight="1" x14ac:dyDescent="0.3">
      <c r="A23" s="26"/>
      <c r="B23" s="27"/>
      <c r="C23" s="27"/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6"/>
      <c r="S23" s="27"/>
      <c r="T23" s="27"/>
      <c r="U23" s="27"/>
      <c r="V23" s="27"/>
      <c r="W23" s="26"/>
      <c r="X23" s="27"/>
      <c r="Y23" s="27"/>
      <c r="Z23" s="27"/>
      <c r="AA23" s="27"/>
      <c r="AB23" s="27"/>
      <c r="AC23" s="27"/>
      <c r="AD23" s="27"/>
      <c r="AE23" s="26"/>
      <c r="AF23" s="27"/>
      <c r="AG23" s="27"/>
      <c r="AH23" s="27"/>
      <c r="AI23" s="27"/>
      <c r="AJ23" s="27"/>
      <c r="AK23" s="27"/>
      <c r="AL23" s="27"/>
      <c r="AM23" s="26"/>
      <c r="AN23" s="27"/>
      <c r="AO23" s="27"/>
      <c r="AP23" s="27"/>
      <c r="AQ23" s="26"/>
      <c r="AR23" s="28"/>
      <c r="AS23" s="28"/>
      <c r="AT23" s="28"/>
      <c r="AU23" s="26"/>
      <c r="AV23" s="28"/>
      <c r="AW23" s="28"/>
      <c r="AX23" s="28"/>
      <c r="AY23" s="26"/>
      <c r="AZ23" s="27"/>
      <c r="BA23" s="27"/>
      <c r="BB23" s="27"/>
      <c r="BC23" s="27"/>
      <c r="BD23" s="27"/>
      <c r="BE23" s="26"/>
      <c r="BF23" s="27"/>
      <c r="BG23" s="27"/>
      <c r="BH23" s="27"/>
      <c r="BI23" s="26"/>
    </row>
    <row r="24" spans="1:61" ht="15.75" customHeight="1" x14ac:dyDescent="0.3">
      <c r="A24" s="26"/>
      <c r="B24" s="27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6"/>
      <c r="S24" s="27"/>
      <c r="T24" s="27"/>
      <c r="U24" s="27"/>
      <c r="V24" s="27"/>
      <c r="W24" s="26"/>
      <c r="X24" s="27"/>
      <c r="Y24" s="27"/>
      <c r="Z24" s="27"/>
      <c r="AA24" s="27"/>
      <c r="AB24" s="27"/>
      <c r="AC24" s="27"/>
      <c r="AD24" s="27"/>
      <c r="AE24" s="26"/>
      <c r="AF24" s="27"/>
      <c r="AG24" s="27"/>
      <c r="AH24" s="27"/>
      <c r="AI24" s="27"/>
      <c r="AJ24" s="27"/>
      <c r="AK24" s="27"/>
      <c r="AL24" s="27"/>
      <c r="AM24" s="26"/>
      <c r="AN24" s="27"/>
      <c r="AO24" s="27"/>
      <c r="AP24" s="27"/>
      <c r="AQ24" s="26"/>
      <c r="AR24" s="27"/>
      <c r="AS24" s="27"/>
      <c r="AT24" s="27"/>
      <c r="AU24" s="26"/>
      <c r="AV24" s="27"/>
      <c r="AW24" s="27"/>
      <c r="AX24" s="27"/>
      <c r="AY24" s="26"/>
      <c r="AZ24" s="27"/>
      <c r="BA24" s="27"/>
      <c r="BB24" s="27"/>
      <c r="BC24" s="27"/>
      <c r="BD24" s="27"/>
      <c r="BE24" s="26"/>
      <c r="BF24" s="27"/>
      <c r="BG24" s="27"/>
      <c r="BH24" s="27"/>
      <c r="BI24" s="26"/>
    </row>
    <row r="25" spans="1:61" ht="15.75" customHeight="1" x14ac:dyDescent="0.3">
      <c r="A25" s="26"/>
      <c r="B25" s="27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6"/>
      <c r="S25" s="27"/>
      <c r="T25" s="27"/>
      <c r="U25" s="27"/>
      <c r="V25" s="27"/>
      <c r="W25" s="26"/>
      <c r="X25" s="27"/>
      <c r="Y25" s="27"/>
      <c r="Z25" s="27"/>
      <c r="AA25" s="27"/>
      <c r="AB25" s="27"/>
      <c r="AC25" s="27"/>
      <c r="AD25" s="27"/>
      <c r="AE25" s="26"/>
      <c r="AF25" s="27"/>
      <c r="AG25" s="27"/>
      <c r="AH25" s="27"/>
      <c r="AI25" s="27"/>
      <c r="AJ25" s="27"/>
      <c r="AK25" s="27"/>
      <c r="AL25" s="27"/>
      <c r="AM25" s="26"/>
      <c r="AN25" s="27"/>
      <c r="AO25" s="27"/>
      <c r="AP25" s="27"/>
      <c r="AQ25" s="26"/>
      <c r="AR25" s="27"/>
      <c r="AS25" s="27"/>
      <c r="AT25" s="27"/>
      <c r="AU25" s="26"/>
      <c r="AV25" s="27"/>
      <c r="AW25" s="27"/>
      <c r="AX25" s="27"/>
      <c r="AY25" s="26"/>
      <c r="AZ25" s="27"/>
      <c r="BA25" s="27"/>
      <c r="BB25" s="27"/>
      <c r="BC25" s="27"/>
      <c r="BD25" s="27"/>
      <c r="BE25" s="26"/>
      <c r="BF25" s="27"/>
      <c r="BG25" s="27"/>
      <c r="BH25" s="27"/>
      <c r="BI25" s="26"/>
    </row>
    <row r="26" spans="1:61" ht="15.75" customHeight="1" x14ac:dyDescent="0.3">
      <c r="A26" s="26"/>
      <c r="B26" s="27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6"/>
      <c r="S26" s="27"/>
      <c r="T26" s="27"/>
      <c r="U26" s="27"/>
      <c r="V26" s="27"/>
      <c r="W26" s="26"/>
      <c r="X26" s="27"/>
      <c r="Y26" s="27"/>
      <c r="Z26" s="27"/>
      <c r="AA26" s="27"/>
      <c r="AB26" s="27"/>
      <c r="AC26" s="27"/>
      <c r="AD26" s="27"/>
      <c r="AE26" s="26"/>
      <c r="AF26" s="27"/>
      <c r="AG26" s="27"/>
      <c r="AH26" s="27"/>
      <c r="AI26" s="27"/>
      <c r="AJ26" s="27"/>
      <c r="AK26" s="27"/>
      <c r="AL26" s="27"/>
      <c r="AM26" s="26"/>
      <c r="AN26" s="27"/>
      <c r="AO26" s="27"/>
      <c r="AP26" s="27"/>
      <c r="AQ26" s="26"/>
      <c r="AR26" s="27"/>
      <c r="AS26" s="27"/>
      <c r="AT26" s="27"/>
      <c r="AU26" s="26"/>
      <c r="AV26" s="27"/>
      <c r="AW26" s="27"/>
      <c r="AX26" s="27"/>
      <c r="AY26" s="26"/>
      <c r="AZ26" s="27"/>
      <c r="BA26" s="27"/>
      <c r="BB26" s="27"/>
      <c r="BC26" s="27"/>
      <c r="BD26" s="27"/>
      <c r="BE26" s="26"/>
      <c r="BF26" s="27"/>
      <c r="BG26" s="27"/>
      <c r="BH26" s="27"/>
      <c r="BI26" s="26"/>
    </row>
    <row r="27" spans="1:61" ht="15.75" customHeight="1" x14ac:dyDescent="0.3">
      <c r="A27" s="26"/>
      <c r="B27" s="27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6"/>
      <c r="S27" s="27"/>
      <c r="T27" s="27"/>
      <c r="U27" s="27"/>
      <c r="V27" s="27"/>
      <c r="W27" s="26"/>
      <c r="X27" s="27"/>
      <c r="Y27" s="27"/>
      <c r="Z27" s="27"/>
      <c r="AA27" s="27"/>
      <c r="AB27" s="27"/>
      <c r="AC27" s="27"/>
      <c r="AD27" s="27"/>
      <c r="AE27" s="26"/>
      <c r="AF27" s="27"/>
      <c r="AG27" s="27"/>
      <c r="AH27" s="27"/>
      <c r="AI27" s="27"/>
      <c r="AJ27" s="27"/>
      <c r="AK27" s="27"/>
      <c r="AL27" s="27"/>
      <c r="AM27" s="26"/>
      <c r="AN27" s="27"/>
      <c r="AO27" s="27"/>
      <c r="AP27" s="27"/>
      <c r="AQ27" s="26"/>
      <c r="AR27" s="27"/>
      <c r="AS27" s="27"/>
      <c r="AT27" s="27"/>
      <c r="AU27" s="26"/>
      <c r="AV27" s="27"/>
      <c r="AW27" s="27"/>
      <c r="AX27" s="27"/>
      <c r="AY27" s="26"/>
      <c r="AZ27" s="27"/>
      <c r="BA27" s="27"/>
      <c r="BB27" s="27"/>
      <c r="BC27" s="27"/>
      <c r="BD27" s="27"/>
      <c r="BE27" s="26"/>
      <c r="BF27" s="27"/>
      <c r="BG27" s="27"/>
      <c r="BH27" s="27"/>
      <c r="BI27" s="26"/>
    </row>
    <row r="28" spans="1:61" ht="15.75" customHeight="1" x14ac:dyDescent="0.3">
      <c r="A28" s="26"/>
      <c r="B28" s="27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6"/>
      <c r="S28" s="27"/>
      <c r="T28" s="27"/>
      <c r="U28" s="27"/>
      <c r="V28" s="27"/>
      <c r="W28" s="26"/>
      <c r="X28" s="27"/>
      <c r="Y28" s="27"/>
      <c r="Z28" s="27"/>
      <c r="AA28" s="27"/>
      <c r="AB28" s="27"/>
      <c r="AC28" s="27"/>
      <c r="AD28" s="27"/>
      <c r="AE28" s="26"/>
      <c r="AF28" s="27"/>
      <c r="AG28" s="27"/>
      <c r="AH28" s="27"/>
      <c r="AI28" s="27"/>
      <c r="AJ28" s="27"/>
      <c r="AK28" s="27"/>
      <c r="AL28" s="27"/>
      <c r="AM28" s="26"/>
      <c r="AN28" s="27"/>
      <c r="AO28" s="27"/>
      <c r="AP28" s="27"/>
      <c r="AQ28" s="26"/>
      <c r="AR28" s="27"/>
      <c r="AS28" s="27"/>
      <c r="AT28" s="27"/>
      <c r="AU28" s="26"/>
      <c r="AV28" s="27"/>
      <c r="AW28" s="27"/>
      <c r="AX28" s="27"/>
      <c r="AY28" s="26"/>
      <c r="AZ28" s="27"/>
      <c r="BA28" s="27"/>
      <c r="BB28" s="27"/>
      <c r="BC28" s="27"/>
      <c r="BD28" s="27"/>
      <c r="BE28" s="26"/>
      <c r="BF28" s="27"/>
      <c r="BG28" s="27"/>
      <c r="BH28" s="27"/>
      <c r="BI28" s="26"/>
    </row>
    <row r="29" spans="1:61" ht="15.75" customHeight="1" x14ac:dyDescent="0.3">
      <c r="A29" s="26"/>
      <c r="B29" s="27"/>
      <c r="C29" s="27"/>
      <c r="D29" s="27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6"/>
      <c r="S29" s="27"/>
      <c r="T29" s="27"/>
      <c r="U29" s="27"/>
      <c r="V29" s="27"/>
      <c r="W29" s="26"/>
      <c r="X29" s="27"/>
      <c r="Y29" s="27"/>
      <c r="Z29" s="27"/>
      <c r="AA29" s="27"/>
      <c r="AB29" s="27"/>
      <c r="AC29" s="27"/>
      <c r="AD29" s="27"/>
      <c r="AE29" s="26"/>
      <c r="AF29" s="27"/>
      <c r="AG29" s="27"/>
      <c r="AH29" s="27"/>
      <c r="AI29" s="27"/>
      <c r="AJ29" s="27"/>
      <c r="AK29" s="27"/>
      <c r="AL29" s="27"/>
      <c r="AM29" s="26"/>
      <c r="AN29" s="27"/>
      <c r="AO29" s="27"/>
      <c r="AP29" s="27"/>
      <c r="AQ29" s="26"/>
      <c r="AR29" s="27"/>
      <c r="AS29" s="27"/>
      <c r="AT29" s="27"/>
      <c r="AU29" s="26"/>
      <c r="AV29" s="27"/>
      <c r="AW29" s="27"/>
      <c r="AX29" s="27"/>
      <c r="AY29" s="26"/>
      <c r="AZ29" s="27"/>
      <c r="BA29" s="27"/>
      <c r="BB29" s="27"/>
      <c r="BC29" s="27"/>
      <c r="BD29" s="27"/>
      <c r="BE29" s="26"/>
      <c r="BF29" s="27"/>
      <c r="BG29" s="27"/>
      <c r="BH29" s="27"/>
      <c r="BI29" s="26"/>
    </row>
    <row r="30" spans="1:61" ht="15.75" customHeight="1" x14ac:dyDescent="0.3">
      <c r="A30" s="26"/>
      <c r="B30" s="27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6"/>
      <c r="S30" s="27"/>
      <c r="T30" s="27"/>
      <c r="U30" s="27"/>
      <c r="V30" s="27"/>
      <c r="W30" s="26"/>
      <c r="X30" s="27"/>
      <c r="Y30" s="27"/>
      <c r="Z30" s="27"/>
      <c r="AA30" s="27"/>
      <c r="AB30" s="27"/>
      <c r="AC30" s="27"/>
      <c r="AD30" s="27"/>
      <c r="AE30" s="26"/>
      <c r="AF30" s="27"/>
      <c r="AG30" s="27"/>
      <c r="AH30" s="27"/>
      <c r="AI30" s="27"/>
      <c r="AJ30" s="27"/>
      <c r="AK30" s="27"/>
      <c r="AL30" s="27"/>
      <c r="AM30" s="26"/>
      <c r="AN30" s="27"/>
      <c r="AO30" s="27"/>
      <c r="AP30" s="27"/>
      <c r="AQ30" s="26"/>
      <c r="AR30" s="27"/>
      <c r="AS30" s="27"/>
      <c r="AT30" s="27"/>
      <c r="AU30" s="26"/>
      <c r="AV30" s="27"/>
      <c r="AW30" s="27"/>
      <c r="AX30" s="27"/>
      <c r="AY30" s="26"/>
      <c r="AZ30" s="27"/>
      <c r="BA30" s="27"/>
      <c r="BB30" s="27"/>
      <c r="BC30" s="27"/>
      <c r="BD30" s="27"/>
      <c r="BE30" s="26"/>
      <c r="BF30" s="27"/>
      <c r="BG30" s="27"/>
      <c r="BH30" s="27"/>
      <c r="BI30" s="26"/>
    </row>
    <row r="31" spans="1:61" ht="15.75" customHeight="1" x14ac:dyDescent="0.3">
      <c r="A31" s="26"/>
      <c r="B31" s="27"/>
      <c r="C31" s="27"/>
      <c r="D31" s="27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6"/>
      <c r="S31" s="27"/>
      <c r="T31" s="27"/>
      <c r="U31" s="27"/>
      <c r="V31" s="27"/>
      <c r="W31" s="26"/>
      <c r="X31" s="27"/>
      <c r="Y31" s="27"/>
      <c r="Z31" s="27"/>
      <c r="AA31" s="27"/>
      <c r="AB31" s="27"/>
      <c r="AC31" s="27"/>
      <c r="AD31" s="27"/>
      <c r="AE31" s="26"/>
      <c r="AF31" s="27"/>
      <c r="AG31" s="27"/>
      <c r="AH31" s="27"/>
      <c r="AI31" s="27"/>
      <c r="AJ31" s="27"/>
      <c r="AK31" s="27"/>
      <c r="AL31" s="27"/>
      <c r="AM31" s="26"/>
      <c r="AN31" s="27"/>
      <c r="AO31" s="27"/>
      <c r="AP31" s="27"/>
      <c r="AQ31" s="26"/>
      <c r="AR31" s="27"/>
      <c r="AS31" s="27"/>
      <c r="AT31" s="27"/>
      <c r="AU31" s="26"/>
      <c r="AV31" s="27"/>
      <c r="AW31" s="27"/>
      <c r="AX31" s="27"/>
      <c r="AY31" s="26"/>
      <c r="AZ31" s="27"/>
      <c r="BA31" s="27"/>
      <c r="BB31" s="27"/>
      <c r="BC31" s="27"/>
      <c r="BD31" s="27"/>
      <c r="BE31" s="26"/>
      <c r="BF31" s="27"/>
      <c r="BG31" s="27"/>
      <c r="BH31" s="27"/>
      <c r="BI31" s="26"/>
    </row>
    <row r="32" spans="1:61" ht="15.75" customHeight="1" x14ac:dyDescent="0.3">
      <c r="A32" s="26"/>
      <c r="B32" s="27"/>
      <c r="C32" s="27"/>
      <c r="D32" s="27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6"/>
      <c r="S32" s="27"/>
      <c r="T32" s="27"/>
      <c r="U32" s="27"/>
      <c r="V32" s="27"/>
      <c r="W32" s="26"/>
      <c r="X32" s="27"/>
      <c r="Y32" s="27"/>
      <c r="Z32" s="27"/>
      <c r="AA32" s="27"/>
      <c r="AB32" s="27"/>
      <c r="AC32" s="27"/>
      <c r="AD32" s="27"/>
      <c r="AE32" s="26"/>
      <c r="AF32" s="27"/>
      <c r="AG32" s="27"/>
      <c r="AH32" s="27"/>
      <c r="AI32" s="27"/>
      <c r="AJ32" s="27"/>
      <c r="AK32" s="27"/>
      <c r="AL32" s="27"/>
      <c r="AM32" s="26"/>
      <c r="AN32" s="27"/>
      <c r="AO32" s="27"/>
      <c r="AP32" s="27"/>
      <c r="AQ32" s="26"/>
      <c r="AR32" s="27"/>
      <c r="AS32" s="27"/>
      <c r="AT32" s="27"/>
      <c r="AU32" s="26"/>
      <c r="AV32" s="27"/>
      <c r="AW32" s="27"/>
      <c r="AX32" s="27"/>
      <c r="AY32" s="26"/>
      <c r="AZ32" s="27"/>
      <c r="BA32" s="27"/>
      <c r="BB32" s="27"/>
      <c r="BC32" s="27"/>
      <c r="BD32" s="27"/>
      <c r="BE32" s="26"/>
      <c r="BF32" s="27"/>
      <c r="BG32" s="27"/>
      <c r="BH32" s="27"/>
      <c r="BI32" s="26"/>
    </row>
    <row r="33" spans="1:61" ht="15.75" customHeight="1" x14ac:dyDescent="0.3">
      <c r="A33" s="26"/>
      <c r="B33" s="27"/>
      <c r="C33" s="27"/>
      <c r="D33" s="27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6"/>
      <c r="S33" s="27"/>
      <c r="T33" s="27"/>
      <c r="U33" s="27"/>
      <c r="V33" s="27"/>
      <c r="W33" s="26"/>
      <c r="X33" s="27"/>
      <c r="Y33" s="27"/>
      <c r="Z33" s="27"/>
      <c r="AA33" s="27"/>
      <c r="AB33" s="27"/>
      <c r="AC33" s="27"/>
      <c r="AD33" s="27"/>
      <c r="AE33" s="26"/>
      <c r="AF33" s="27"/>
      <c r="AG33" s="27"/>
      <c r="AH33" s="27"/>
      <c r="AI33" s="27"/>
      <c r="AJ33" s="27"/>
      <c r="AK33" s="27"/>
      <c r="AL33" s="27"/>
      <c r="AM33" s="26"/>
      <c r="AN33" s="27"/>
      <c r="AO33" s="27"/>
      <c r="AP33" s="27"/>
      <c r="AQ33" s="26"/>
      <c r="AR33" s="27"/>
      <c r="AS33" s="27"/>
      <c r="AT33" s="27"/>
      <c r="AU33" s="26"/>
      <c r="AV33" s="27"/>
      <c r="AW33" s="27"/>
      <c r="AX33" s="27"/>
      <c r="AY33" s="26"/>
      <c r="AZ33" s="27"/>
      <c r="BA33" s="27"/>
      <c r="BB33" s="27"/>
      <c r="BC33" s="27"/>
      <c r="BD33" s="27"/>
      <c r="BE33" s="26"/>
      <c r="BF33" s="27"/>
      <c r="BG33" s="27"/>
      <c r="BH33" s="27"/>
      <c r="BI33" s="26"/>
    </row>
    <row r="34" spans="1:61" ht="15.75" customHeight="1" x14ac:dyDescent="0.3">
      <c r="A34" s="26"/>
      <c r="B34" s="27"/>
      <c r="C34" s="27"/>
      <c r="D34" s="27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6"/>
      <c r="S34" s="27"/>
      <c r="T34" s="27"/>
      <c r="U34" s="27"/>
      <c r="V34" s="27"/>
      <c r="W34" s="26"/>
      <c r="X34" s="27"/>
      <c r="Y34" s="27"/>
      <c r="Z34" s="27"/>
      <c r="AA34" s="27"/>
      <c r="AB34" s="27"/>
      <c r="AC34" s="27"/>
      <c r="AD34" s="27"/>
      <c r="AE34" s="26"/>
      <c r="AF34" s="27"/>
      <c r="AG34" s="27"/>
      <c r="AH34" s="27"/>
      <c r="AI34" s="27"/>
      <c r="AJ34" s="27"/>
      <c r="AK34" s="27"/>
      <c r="AL34" s="27"/>
      <c r="AM34" s="26"/>
      <c r="AN34" s="27"/>
      <c r="AO34" s="27"/>
      <c r="AP34" s="27"/>
      <c r="AQ34" s="26"/>
      <c r="AR34" s="27"/>
      <c r="AS34" s="27"/>
      <c r="AT34" s="27"/>
      <c r="AU34" s="26"/>
      <c r="AV34" s="27"/>
      <c r="AW34" s="27"/>
      <c r="AX34" s="27"/>
      <c r="AY34" s="26"/>
      <c r="AZ34" s="27"/>
      <c r="BA34" s="27"/>
      <c r="BB34" s="27"/>
      <c r="BC34" s="27"/>
      <c r="BD34" s="27"/>
      <c r="BE34" s="26"/>
      <c r="BF34" s="27"/>
      <c r="BG34" s="27"/>
      <c r="BH34" s="27"/>
      <c r="BI34" s="26"/>
    </row>
    <row r="35" spans="1:61" ht="15.75" customHeight="1" x14ac:dyDescent="0.3">
      <c r="A35" s="26"/>
      <c r="B35" s="27"/>
      <c r="C35" s="27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6"/>
      <c r="S35" s="27"/>
      <c r="T35" s="27"/>
      <c r="U35" s="27"/>
      <c r="V35" s="27"/>
      <c r="W35" s="26"/>
      <c r="X35" s="27"/>
      <c r="Y35" s="27"/>
      <c r="Z35" s="27"/>
      <c r="AA35" s="27"/>
      <c r="AB35" s="27"/>
      <c r="AC35" s="27"/>
      <c r="AD35" s="27"/>
      <c r="AE35" s="26"/>
      <c r="AF35" s="27"/>
      <c r="AG35" s="27"/>
      <c r="AH35" s="27"/>
      <c r="AI35" s="27"/>
      <c r="AJ35" s="27"/>
      <c r="AK35" s="27"/>
      <c r="AL35" s="27"/>
      <c r="AM35" s="26"/>
      <c r="AN35" s="27"/>
      <c r="AO35" s="27"/>
      <c r="AP35" s="27"/>
      <c r="AQ35" s="26"/>
      <c r="AR35" s="27"/>
      <c r="AS35" s="27"/>
      <c r="AT35" s="27"/>
      <c r="AU35" s="26"/>
      <c r="AV35" s="27"/>
      <c r="AW35" s="27"/>
      <c r="AX35" s="27"/>
      <c r="AY35" s="26"/>
      <c r="AZ35" s="27"/>
      <c r="BA35" s="27"/>
      <c r="BB35" s="27"/>
      <c r="BC35" s="27"/>
      <c r="BD35" s="27"/>
      <c r="BE35" s="26"/>
      <c r="BF35" s="27"/>
      <c r="BG35" s="27"/>
      <c r="BH35" s="27"/>
      <c r="BI35" s="26"/>
    </row>
    <row r="36" spans="1:61" ht="15.75" customHeight="1" x14ac:dyDescent="0.3">
      <c r="A36" s="26"/>
      <c r="B36" s="27"/>
      <c r="C36" s="27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6"/>
      <c r="S36" s="27"/>
      <c r="T36" s="27"/>
      <c r="U36" s="27"/>
      <c r="V36" s="27"/>
      <c r="W36" s="26"/>
      <c r="X36" s="27"/>
      <c r="Y36" s="27"/>
      <c r="Z36" s="27"/>
      <c r="AA36" s="27"/>
      <c r="AB36" s="27"/>
      <c r="AC36" s="27"/>
      <c r="AD36" s="27"/>
      <c r="AE36" s="26"/>
      <c r="AF36" s="27"/>
      <c r="AG36" s="27"/>
      <c r="AH36" s="27"/>
      <c r="AI36" s="27"/>
      <c r="AJ36" s="27"/>
      <c r="AK36" s="27"/>
      <c r="AL36" s="27"/>
      <c r="AM36" s="26"/>
      <c r="AN36" s="27"/>
      <c r="AO36" s="27"/>
      <c r="AP36" s="27"/>
      <c r="AQ36" s="26"/>
      <c r="AR36" s="27"/>
      <c r="AS36" s="27"/>
      <c r="AT36" s="27"/>
      <c r="AU36" s="26"/>
      <c r="AV36" s="27"/>
      <c r="AW36" s="27"/>
      <c r="AX36" s="27"/>
      <c r="AY36" s="26"/>
      <c r="AZ36" s="27"/>
      <c r="BA36" s="27"/>
      <c r="BB36" s="27"/>
      <c r="BC36" s="27"/>
      <c r="BD36" s="27"/>
      <c r="BE36" s="26"/>
      <c r="BF36" s="27"/>
      <c r="BG36" s="27"/>
      <c r="BH36" s="27"/>
      <c r="BI36" s="26"/>
    </row>
    <row r="37" spans="1:61" ht="15.75" customHeight="1" x14ac:dyDescent="0.3">
      <c r="A37" s="26"/>
      <c r="B37" s="27"/>
      <c r="C37" s="27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6"/>
      <c r="S37" s="27"/>
      <c r="T37" s="27"/>
      <c r="U37" s="27"/>
      <c r="V37" s="27"/>
      <c r="W37" s="26"/>
      <c r="X37" s="27"/>
      <c r="Y37" s="27"/>
      <c r="Z37" s="27"/>
      <c r="AA37" s="27"/>
      <c r="AB37" s="27"/>
      <c r="AC37" s="27"/>
      <c r="AD37" s="27"/>
      <c r="AE37" s="26"/>
      <c r="AF37" s="27"/>
      <c r="AG37" s="27"/>
      <c r="AH37" s="27"/>
      <c r="AI37" s="27"/>
      <c r="AJ37" s="27"/>
      <c r="AK37" s="27"/>
      <c r="AL37" s="27"/>
      <c r="AM37" s="26"/>
      <c r="AN37" s="27"/>
      <c r="AO37" s="27"/>
      <c r="AP37" s="27"/>
      <c r="AQ37" s="26"/>
      <c r="AR37" s="27"/>
      <c r="AS37" s="27"/>
      <c r="AT37" s="27"/>
      <c r="AU37" s="26"/>
      <c r="AV37" s="27"/>
      <c r="AW37" s="27"/>
      <c r="AX37" s="27"/>
      <c r="AY37" s="26"/>
      <c r="AZ37" s="27"/>
      <c r="BA37" s="27"/>
      <c r="BB37" s="27"/>
      <c r="BC37" s="27"/>
      <c r="BD37" s="27"/>
      <c r="BE37" s="26"/>
      <c r="BF37" s="27"/>
      <c r="BG37" s="27"/>
      <c r="BH37" s="27"/>
      <c r="BI37" s="26"/>
    </row>
    <row r="38" spans="1:61" ht="15.75" customHeight="1" x14ac:dyDescent="0.3">
      <c r="A38" s="26"/>
      <c r="B38" s="27"/>
      <c r="C38" s="27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6"/>
      <c r="S38" s="27"/>
      <c r="T38" s="27"/>
      <c r="U38" s="27"/>
      <c r="V38" s="27"/>
      <c r="W38" s="26"/>
      <c r="X38" s="27"/>
      <c r="Y38" s="27"/>
      <c r="Z38" s="27"/>
      <c r="AA38" s="27"/>
      <c r="AB38" s="27"/>
      <c r="AC38" s="27"/>
      <c r="AD38" s="27"/>
      <c r="AE38" s="26"/>
      <c r="AF38" s="27"/>
      <c r="AG38" s="27"/>
      <c r="AH38" s="27"/>
      <c r="AI38" s="27"/>
      <c r="AJ38" s="27"/>
      <c r="AK38" s="27"/>
      <c r="AL38" s="27"/>
      <c r="AM38" s="26"/>
      <c r="AN38" s="27"/>
      <c r="AO38" s="27"/>
      <c r="AP38" s="27"/>
      <c r="AQ38" s="26"/>
      <c r="AR38" s="27"/>
      <c r="AS38" s="27"/>
      <c r="AT38" s="27"/>
      <c r="AU38" s="26"/>
      <c r="AV38" s="27"/>
      <c r="AW38" s="27"/>
      <c r="AX38" s="27"/>
      <c r="AY38" s="26"/>
      <c r="AZ38" s="27"/>
      <c r="BA38" s="27"/>
      <c r="BB38" s="27"/>
      <c r="BC38" s="27"/>
      <c r="BD38" s="27"/>
      <c r="BE38" s="26"/>
      <c r="BF38" s="27"/>
      <c r="BG38" s="27"/>
      <c r="BH38" s="27"/>
      <c r="BI38" s="26"/>
    </row>
    <row r="39" spans="1:61" ht="15.75" customHeight="1" x14ac:dyDescent="0.3">
      <c r="A39" s="26"/>
      <c r="B39" s="27"/>
      <c r="C39" s="27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6"/>
      <c r="S39" s="27"/>
      <c r="T39" s="27"/>
      <c r="U39" s="27"/>
      <c r="V39" s="27"/>
      <c r="W39" s="26"/>
      <c r="X39" s="27"/>
      <c r="Y39" s="27"/>
      <c r="Z39" s="27"/>
      <c r="AA39" s="27"/>
      <c r="AB39" s="27"/>
      <c r="AC39" s="27"/>
      <c r="AD39" s="27"/>
      <c r="AE39" s="26"/>
      <c r="AF39" s="27"/>
      <c r="AG39" s="27"/>
      <c r="AH39" s="27"/>
      <c r="AI39" s="27"/>
      <c r="AJ39" s="27"/>
      <c r="AK39" s="27"/>
      <c r="AL39" s="27"/>
      <c r="AM39" s="26"/>
      <c r="AN39" s="27"/>
      <c r="AO39" s="27"/>
      <c r="AP39" s="27"/>
      <c r="AQ39" s="26"/>
      <c r="AR39" s="27"/>
      <c r="AS39" s="27"/>
      <c r="AT39" s="27"/>
      <c r="AU39" s="26"/>
      <c r="AV39" s="27"/>
      <c r="AW39" s="27"/>
      <c r="AX39" s="27"/>
      <c r="AY39" s="26"/>
      <c r="AZ39" s="27"/>
      <c r="BA39" s="27"/>
      <c r="BB39" s="27"/>
      <c r="BC39" s="27"/>
      <c r="BD39" s="27"/>
      <c r="BE39" s="26"/>
      <c r="BF39" s="27"/>
      <c r="BG39" s="27"/>
      <c r="BH39" s="27"/>
      <c r="BI39" s="26"/>
    </row>
    <row r="40" spans="1:61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6"/>
      <c r="S40" s="27"/>
      <c r="T40" s="27"/>
      <c r="U40" s="27"/>
      <c r="V40" s="27"/>
      <c r="W40" s="26"/>
      <c r="X40" s="27"/>
      <c r="Y40" s="27"/>
      <c r="Z40" s="27"/>
      <c r="AA40" s="27"/>
      <c r="AB40" s="27"/>
      <c r="AC40" s="27"/>
      <c r="AD40" s="27"/>
      <c r="AE40" s="26"/>
      <c r="AF40" s="27"/>
      <c r="AG40" s="27"/>
      <c r="AH40" s="27"/>
      <c r="AI40" s="27"/>
      <c r="AJ40" s="27"/>
      <c r="AK40" s="27"/>
      <c r="AL40" s="27"/>
      <c r="AM40" s="26"/>
      <c r="AN40" s="27"/>
      <c r="AO40" s="27"/>
      <c r="AP40" s="27"/>
      <c r="AQ40" s="26"/>
      <c r="AR40" s="27"/>
      <c r="AS40" s="27"/>
      <c r="AT40" s="27"/>
      <c r="AU40" s="26"/>
      <c r="AV40" s="27"/>
      <c r="AW40" s="27"/>
      <c r="AX40" s="27"/>
      <c r="AY40" s="26"/>
      <c r="AZ40" s="27"/>
      <c r="BA40" s="27"/>
      <c r="BB40" s="27"/>
      <c r="BC40" s="27"/>
      <c r="BD40" s="27"/>
      <c r="BE40" s="26"/>
      <c r="BF40" s="27"/>
      <c r="BG40" s="27"/>
      <c r="BH40" s="27"/>
      <c r="BI40" s="26"/>
    </row>
    <row r="41" spans="1:61" ht="15.75" customHeight="1" x14ac:dyDescent="0.3">
      <c r="A41" s="26"/>
      <c r="B41" s="27"/>
      <c r="C41" s="27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6"/>
      <c r="S41" s="27"/>
      <c r="T41" s="27"/>
      <c r="U41" s="27"/>
      <c r="V41" s="27"/>
      <c r="W41" s="26"/>
      <c r="X41" s="27"/>
      <c r="Y41" s="27"/>
      <c r="Z41" s="27"/>
      <c r="AA41" s="27"/>
      <c r="AB41" s="27"/>
      <c r="AC41" s="27"/>
      <c r="AD41" s="27"/>
      <c r="AE41" s="26"/>
      <c r="AF41" s="27"/>
      <c r="AG41" s="27"/>
      <c r="AH41" s="27"/>
      <c r="AI41" s="27"/>
      <c r="AJ41" s="27"/>
      <c r="AK41" s="27"/>
      <c r="AL41" s="27"/>
      <c r="AM41" s="26"/>
      <c r="AN41" s="27"/>
      <c r="AO41" s="27"/>
      <c r="AP41" s="27"/>
      <c r="AQ41" s="26"/>
      <c r="AR41" s="27"/>
      <c r="AS41" s="27"/>
      <c r="AT41" s="27"/>
      <c r="AU41" s="26"/>
      <c r="AV41" s="27"/>
      <c r="AW41" s="27"/>
      <c r="AX41" s="27"/>
      <c r="AY41" s="26"/>
      <c r="AZ41" s="27"/>
      <c r="BA41" s="27"/>
      <c r="BB41" s="27"/>
      <c r="BC41" s="27"/>
      <c r="BD41" s="27"/>
      <c r="BE41" s="26"/>
      <c r="BF41" s="27"/>
      <c r="BG41" s="27"/>
      <c r="BH41" s="27"/>
      <c r="BI41" s="26"/>
    </row>
    <row r="42" spans="1:61" ht="15.75" customHeight="1" x14ac:dyDescent="0.3">
      <c r="A42" s="26"/>
      <c r="B42" s="27"/>
      <c r="C42" s="27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6"/>
      <c r="S42" s="27"/>
      <c r="T42" s="27"/>
      <c r="U42" s="27"/>
      <c r="V42" s="27"/>
      <c r="W42" s="26"/>
      <c r="X42" s="27"/>
      <c r="Y42" s="27"/>
      <c r="Z42" s="27"/>
      <c r="AA42" s="27"/>
      <c r="AB42" s="27"/>
      <c r="AC42" s="27"/>
      <c r="AD42" s="27"/>
      <c r="AE42" s="26"/>
      <c r="AF42" s="27"/>
      <c r="AG42" s="27"/>
      <c r="AH42" s="27"/>
      <c r="AI42" s="27"/>
      <c r="AJ42" s="27"/>
      <c r="AK42" s="27"/>
      <c r="AL42" s="27"/>
      <c r="AM42" s="26"/>
      <c r="AN42" s="27"/>
      <c r="AO42" s="27"/>
      <c r="AP42" s="27"/>
      <c r="AQ42" s="26"/>
      <c r="AR42" s="27"/>
      <c r="AS42" s="27"/>
      <c r="AT42" s="27"/>
      <c r="AU42" s="26"/>
      <c r="AV42" s="27"/>
      <c r="AW42" s="27"/>
      <c r="AX42" s="27"/>
      <c r="AY42" s="26"/>
      <c r="AZ42" s="27"/>
      <c r="BA42" s="27"/>
      <c r="BB42" s="27"/>
      <c r="BC42" s="27"/>
      <c r="BD42" s="27"/>
      <c r="BE42" s="26"/>
      <c r="BF42" s="27"/>
      <c r="BG42" s="27"/>
      <c r="BH42" s="27"/>
      <c r="BI42" s="26"/>
    </row>
    <row r="43" spans="1:61" ht="15.75" customHeight="1" x14ac:dyDescent="0.3">
      <c r="A43" s="26"/>
      <c r="B43" s="27"/>
      <c r="C43" s="27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6"/>
      <c r="S43" s="27"/>
      <c r="T43" s="27"/>
      <c r="U43" s="27"/>
      <c r="V43" s="27"/>
      <c r="W43" s="26"/>
      <c r="X43" s="27"/>
      <c r="Y43" s="27"/>
      <c r="Z43" s="27"/>
      <c r="AA43" s="27"/>
      <c r="AB43" s="27"/>
      <c r="AC43" s="27"/>
      <c r="AD43" s="27"/>
      <c r="AE43" s="26"/>
      <c r="AF43" s="27"/>
      <c r="AG43" s="27"/>
      <c r="AH43" s="27"/>
      <c r="AI43" s="27"/>
      <c r="AJ43" s="27"/>
      <c r="AK43" s="27"/>
      <c r="AL43" s="27"/>
      <c r="AM43" s="26"/>
      <c r="AN43" s="27"/>
      <c r="AO43" s="27"/>
      <c r="AP43" s="27"/>
      <c r="AQ43" s="26"/>
      <c r="AR43" s="27"/>
      <c r="AS43" s="27"/>
      <c r="AT43" s="27"/>
      <c r="AU43" s="26"/>
      <c r="AV43" s="27"/>
      <c r="AW43" s="27"/>
      <c r="AX43" s="27"/>
      <c r="AY43" s="26"/>
      <c r="AZ43" s="27"/>
      <c r="BA43" s="27"/>
      <c r="BB43" s="27"/>
      <c r="BC43" s="27"/>
      <c r="BD43" s="27"/>
      <c r="BE43" s="26"/>
      <c r="BF43" s="27"/>
      <c r="BG43" s="27"/>
      <c r="BH43" s="27"/>
      <c r="BI43" s="26"/>
    </row>
    <row r="44" spans="1:61" ht="15.75" customHeight="1" x14ac:dyDescent="0.3">
      <c r="A44" s="26"/>
      <c r="B44" s="27"/>
      <c r="C44" s="27"/>
      <c r="D44" s="27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6"/>
      <c r="S44" s="27"/>
      <c r="T44" s="27"/>
      <c r="U44" s="27"/>
      <c r="V44" s="27"/>
      <c r="W44" s="26"/>
      <c r="X44" s="27"/>
      <c r="Y44" s="27"/>
      <c r="Z44" s="27"/>
      <c r="AA44" s="27"/>
      <c r="AB44" s="27"/>
      <c r="AC44" s="27"/>
      <c r="AD44" s="27"/>
      <c r="AE44" s="26"/>
      <c r="AF44" s="27"/>
      <c r="AG44" s="27"/>
      <c r="AH44" s="27"/>
      <c r="AI44" s="27"/>
      <c r="AJ44" s="27"/>
      <c r="AK44" s="27"/>
      <c r="AL44" s="27"/>
      <c r="AM44" s="26"/>
      <c r="AN44" s="27"/>
      <c r="AO44" s="27"/>
      <c r="AP44" s="27"/>
      <c r="AQ44" s="26"/>
      <c r="AR44" s="27"/>
      <c r="AS44" s="27"/>
      <c r="AT44" s="27"/>
      <c r="AU44" s="26"/>
      <c r="AV44" s="27"/>
      <c r="AW44" s="27"/>
      <c r="AX44" s="27"/>
      <c r="AY44" s="26"/>
      <c r="AZ44" s="27"/>
      <c r="BA44" s="27"/>
      <c r="BB44" s="27"/>
      <c r="BC44" s="27"/>
      <c r="BD44" s="27"/>
      <c r="BE44" s="26"/>
      <c r="BF44" s="27"/>
      <c r="BG44" s="27"/>
      <c r="BH44" s="27"/>
      <c r="BI44" s="26"/>
    </row>
    <row r="45" spans="1:61" ht="15.75" customHeight="1" x14ac:dyDescent="0.3">
      <c r="A45" s="26"/>
      <c r="B45" s="27"/>
      <c r="C45" s="27"/>
      <c r="D45" s="27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6"/>
      <c r="S45" s="27"/>
      <c r="T45" s="27"/>
      <c r="U45" s="27"/>
      <c r="V45" s="27"/>
      <c r="W45" s="26"/>
      <c r="X45" s="27"/>
      <c r="Y45" s="27"/>
      <c r="Z45" s="27"/>
      <c r="AA45" s="27"/>
      <c r="AB45" s="27"/>
      <c r="AC45" s="27"/>
      <c r="AD45" s="27"/>
      <c r="AE45" s="26"/>
      <c r="AF45" s="27"/>
      <c r="AG45" s="27"/>
      <c r="AH45" s="27"/>
      <c r="AI45" s="27"/>
      <c r="AJ45" s="27"/>
      <c r="AK45" s="27"/>
      <c r="AL45" s="27"/>
      <c r="AM45" s="26"/>
      <c r="AN45" s="27"/>
      <c r="AO45" s="27"/>
      <c r="AP45" s="27"/>
      <c r="AQ45" s="26"/>
      <c r="AR45" s="27"/>
      <c r="AS45" s="27"/>
      <c r="AT45" s="27"/>
      <c r="AU45" s="26"/>
      <c r="AV45" s="27"/>
      <c r="AW45" s="27"/>
      <c r="AX45" s="27"/>
      <c r="AY45" s="26"/>
      <c r="AZ45" s="27"/>
      <c r="BA45" s="27"/>
      <c r="BB45" s="27"/>
      <c r="BC45" s="27"/>
      <c r="BD45" s="27"/>
      <c r="BE45" s="26"/>
      <c r="BF45" s="27"/>
      <c r="BG45" s="27"/>
      <c r="BH45" s="27"/>
      <c r="BI45" s="26"/>
    </row>
    <row r="46" spans="1:61" ht="15.75" customHeight="1" x14ac:dyDescent="0.3">
      <c r="A46" s="26"/>
      <c r="B46" s="27"/>
      <c r="C46" s="27"/>
      <c r="D46" s="27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6"/>
      <c r="S46" s="27"/>
      <c r="T46" s="27"/>
      <c r="U46" s="27"/>
      <c r="V46" s="27"/>
      <c r="W46" s="26"/>
      <c r="X46" s="27"/>
      <c r="Y46" s="27"/>
      <c r="Z46" s="27"/>
      <c r="AA46" s="27"/>
      <c r="AB46" s="27"/>
      <c r="AC46" s="27"/>
      <c r="AD46" s="27"/>
      <c r="AE46" s="26"/>
      <c r="AF46" s="27"/>
      <c r="AG46" s="27"/>
      <c r="AH46" s="27"/>
      <c r="AI46" s="27"/>
      <c r="AJ46" s="27"/>
      <c r="AK46" s="27"/>
      <c r="AL46" s="27"/>
      <c r="AM46" s="26"/>
      <c r="AN46" s="27"/>
      <c r="AO46" s="27"/>
      <c r="AP46" s="27"/>
      <c r="AQ46" s="26"/>
      <c r="AR46" s="27"/>
      <c r="AS46" s="27"/>
      <c r="AT46" s="27"/>
      <c r="AU46" s="26"/>
      <c r="AV46" s="27"/>
      <c r="AW46" s="27"/>
      <c r="AX46" s="27"/>
      <c r="AY46" s="26"/>
      <c r="AZ46" s="27"/>
      <c r="BA46" s="27"/>
      <c r="BB46" s="27"/>
      <c r="BC46" s="27"/>
      <c r="BD46" s="27"/>
      <c r="BE46" s="26"/>
      <c r="BF46" s="27"/>
      <c r="BG46" s="27"/>
      <c r="BH46" s="27"/>
      <c r="BI46" s="26"/>
    </row>
    <row r="47" spans="1:61" ht="15.75" customHeight="1" x14ac:dyDescent="0.3">
      <c r="A47" s="26"/>
      <c r="B47" s="27"/>
      <c r="C47" s="27"/>
      <c r="D47" s="27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6"/>
      <c r="S47" s="27"/>
      <c r="T47" s="27"/>
      <c r="U47" s="27"/>
      <c r="V47" s="27"/>
      <c r="W47" s="26"/>
      <c r="X47" s="27"/>
      <c r="Y47" s="27"/>
      <c r="Z47" s="27"/>
      <c r="AA47" s="27"/>
      <c r="AB47" s="27"/>
      <c r="AC47" s="27"/>
      <c r="AD47" s="27"/>
      <c r="AE47" s="26"/>
      <c r="AF47" s="27"/>
      <c r="AG47" s="27"/>
      <c r="AH47" s="27"/>
      <c r="AI47" s="27"/>
      <c r="AJ47" s="27"/>
      <c r="AK47" s="27"/>
      <c r="AL47" s="27"/>
      <c r="AM47" s="26"/>
      <c r="AN47" s="27"/>
      <c r="AO47" s="27"/>
      <c r="AP47" s="27"/>
      <c r="AQ47" s="26"/>
      <c r="AR47" s="27"/>
      <c r="AS47" s="27"/>
      <c r="AT47" s="27"/>
      <c r="AU47" s="26"/>
      <c r="AV47" s="27"/>
      <c r="AW47" s="27"/>
      <c r="AX47" s="27"/>
      <c r="AY47" s="26"/>
      <c r="AZ47" s="27"/>
      <c r="BA47" s="27"/>
      <c r="BB47" s="27"/>
      <c r="BC47" s="27"/>
      <c r="BD47" s="27"/>
      <c r="BE47" s="26"/>
      <c r="BF47" s="27"/>
      <c r="BG47" s="27"/>
      <c r="BH47" s="27"/>
      <c r="BI47" s="26"/>
    </row>
    <row r="48" spans="1:61" ht="15.75" customHeight="1" x14ac:dyDescent="0.3">
      <c r="A48" s="26"/>
      <c r="B48" s="27"/>
      <c r="C48" s="27"/>
      <c r="D48" s="27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6"/>
      <c r="S48" s="27"/>
      <c r="T48" s="27"/>
      <c r="U48" s="27"/>
      <c r="V48" s="27"/>
      <c r="W48" s="26"/>
      <c r="X48" s="27"/>
      <c r="Y48" s="27"/>
      <c r="Z48" s="27"/>
      <c r="AA48" s="27"/>
      <c r="AB48" s="27"/>
      <c r="AC48" s="27"/>
      <c r="AD48" s="27"/>
      <c r="AE48" s="26"/>
      <c r="AF48" s="27"/>
      <c r="AG48" s="27"/>
      <c r="AH48" s="27"/>
      <c r="AI48" s="27"/>
      <c r="AJ48" s="27"/>
      <c r="AK48" s="27"/>
      <c r="AL48" s="27"/>
      <c r="AM48" s="26"/>
      <c r="AN48" s="27"/>
      <c r="AO48" s="27"/>
      <c r="AP48" s="27"/>
      <c r="AQ48" s="26"/>
      <c r="AR48" s="27"/>
      <c r="AS48" s="27"/>
      <c r="AT48" s="27"/>
      <c r="AU48" s="26"/>
      <c r="AV48" s="27"/>
      <c r="AW48" s="27"/>
      <c r="AX48" s="27"/>
      <c r="AY48" s="26"/>
      <c r="AZ48" s="27"/>
      <c r="BA48" s="27"/>
      <c r="BB48" s="27"/>
      <c r="BC48" s="27"/>
      <c r="BD48" s="27"/>
      <c r="BE48" s="26"/>
      <c r="BF48" s="27"/>
      <c r="BG48" s="27"/>
      <c r="BH48" s="27"/>
      <c r="BI48" s="26"/>
    </row>
    <row r="49" spans="1:61" ht="15.75" customHeight="1" x14ac:dyDescent="0.3">
      <c r="A49" s="33"/>
      <c r="B49" s="34"/>
      <c r="C49" s="34"/>
      <c r="D49" s="34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3"/>
      <c r="S49" s="34"/>
      <c r="T49" s="34"/>
      <c r="U49" s="34"/>
      <c r="V49" s="34"/>
      <c r="W49" s="33"/>
      <c r="X49" s="34"/>
      <c r="Y49" s="34"/>
      <c r="Z49" s="34"/>
      <c r="AA49" s="34"/>
      <c r="AB49" s="34"/>
      <c r="AC49" s="34"/>
      <c r="AD49" s="34"/>
      <c r="AE49" s="33"/>
      <c r="AF49" s="34"/>
      <c r="AG49" s="34"/>
      <c r="AH49" s="34"/>
      <c r="AI49" s="34"/>
      <c r="AJ49" s="34"/>
      <c r="AK49" s="34"/>
      <c r="AL49" s="34"/>
      <c r="AM49" s="33"/>
      <c r="AN49" s="34"/>
      <c r="AO49" s="34"/>
      <c r="AP49" s="34"/>
      <c r="AQ49" s="33"/>
      <c r="AR49" s="34"/>
      <c r="AS49" s="34"/>
      <c r="AT49" s="34"/>
      <c r="AU49" s="33"/>
      <c r="AV49" s="34"/>
      <c r="AW49" s="34"/>
      <c r="AX49" s="34"/>
      <c r="AY49" s="33"/>
      <c r="AZ49" s="34"/>
      <c r="BA49" s="34"/>
      <c r="BB49" s="34"/>
      <c r="BC49" s="34"/>
      <c r="BD49" s="34"/>
      <c r="BE49" s="33"/>
      <c r="BF49" s="34"/>
      <c r="BG49" s="34"/>
      <c r="BH49" s="34"/>
      <c r="BI49" s="33"/>
    </row>
    <row r="50" spans="1:61" ht="15.75" customHeight="1" x14ac:dyDescent="0.3">
      <c r="A50" s="33"/>
      <c r="B50" s="34"/>
      <c r="C50" s="34"/>
      <c r="D50" s="34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3"/>
      <c r="S50" s="34"/>
      <c r="T50" s="34"/>
      <c r="U50" s="34"/>
      <c r="V50" s="34"/>
      <c r="W50" s="33"/>
      <c r="X50" s="34"/>
      <c r="Y50" s="34"/>
      <c r="Z50" s="34"/>
      <c r="AA50" s="34"/>
      <c r="AB50" s="34"/>
      <c r="AC50" s="34"/>
      <c r="AD50" s="34"/>
      <c r="AE50" s="33"/>
      <c r="AF50" s="34"/>
      <c r="AG50" s="34"/>
      <c r="AH50" s="34"/>
      <c r="AI50" s="34"/>
      <c r="AJ50" s="34"/>
      <c r="AK50" s="34"/>
      <c r="AL50" s="34"/>
      <c r="AM50" s="33"/>
      <c r="AN50" s="34"/>
      <c r="AO50" s="34"/>
      <c r="AP50" s="34"/>
      <c r="AQ50" s="33"/>
      <c r="AR50" s="34"/>
      <c r="AS50" s="34"/>
      <c r="AT50" s="34"/>
      <c r="AU50" s="33"/>
      <c r="AV50" s="34"/>
      <c r="AW50" s="34"/>
      <c r="AX50" s="34"/>
      <c r="AY50" s="33"/>
      <c r="AZ50" s="34"/>
      <c r="BA50" s="34"/>
      <c r="BB50" s="34"/>
      <c r="BC50" s="34"/>
      <c r="BD50" s="34"/>
      <c r="BE50" s="33"/>
      <c r="BF50" s="34"/>
      <c r="BG50" s="34"/>
      <c r="BH50" s="34"/>
      <c r="BI50" s="33"/>
    </row>
    <row r="51" spans="1:61" ht="15.75" customHeight="1" x14ac:dyDescent="0.3">
      <c r="A51" s="33"/>
      <c r="B51" s="34"/>
      <c r="C51" s="34"/>
      <c r="D51" s="34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3"/>
      <c r="S51" s="34"/>
      <c r="T51" s="34"/>
      <c r="U51" s="34"/>
      <c r="V51" s="34"/>
      <c r="W51" s="33"/>
      <c r="X51" s="34"/>
      <c r="Y51" s="34"/>
      <c r="Z51" s="34"/>
      <c r="AA51" s="34"/>
      <c r="AB51" s="34"/>
      <c r="AC51" s="34"/>
      <c r="AD51" s="34"/>
      <c r="AE51" s="33"/>
      <c r="AF51" s="34"/>
      <c r="AG51" s="34"/>
      <c r="AH51" s="34"/>
      <c r="AI51" s="34"/>
      <c r="AJ51" s="34"/>
      <c r="AK51" s="34"/>
      <c r="AL51" s="34"/>
      <c r="AM51" s="33"/>
      <c r="AN51" s="34"/>
      <c r="AO51" s="34"/>
      <c r="AP51" s="34"/>
      <c r="AQ51" s="33"/>
      <c r="AR51" s="34"/>
      <c r="AS51" s="34"/>
      <c r="AT51" s="34"/>
      <c r="AU51" s="33"/>
      <c r="AV51" s="34"/>
      <c r="AW51" s="34"/>
      <c r="AX51" s="34"/>
      <c r="AY51" s="33"/>
      <c r="AZ51" s="34"/>
      <c r="BA51" s="34"/>
      <c r="BB51" s="34"/>
      <c r="BC51" s="34"/>
      <c r="BD51" s="34"/>
      <c r="BE51" s="33"/>
      <c r="BF51" s="34"/>
      <c r="BG51" s="34"/>
      <c r="BH51" s="34"/>
      <c r="BI51" s="33"/>
    </row>
    <row r="52" spans="1:61" ht="15.75" customHeight="1" x14ac:dyDescent="0.3">
      <c r="A52" s="33"/>
      <c r="B52" s="34"/>
      <c r="C52" s="34"/>
      <c r="D52" s="34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3"/>
      <c r="S52" s="34"/>
      <c r="T52" s="34"/>
      <c r="U52" s="34"/>
      <c r="V52" s="34"/>
      <c r="W52" s="33"/>
      <c r="X52" s="34"/>
      <c r="Y52" s="34"/>
      <c r="Z52" s="34"/>
      <c r="AA52" s="34"/>
      <c r="AB52" s="34"/>
      <c r="AC52" s="34"/>
      <c r="AD52" s="34"/>
      <c r="AE52" s="33"/>
      <c r="AF52" s="34"/>
      <c r="AG52" s="34"/>
      <c r="AH52" s="34"/>
      <c r="AI52" s="34"/>
      <c r="AJ52" s="34"/>
      <c r="AK52" s="34"/>
      <c r="AL52" s="34"/>
      <c r="AM52" s="33"/>
      <c r="AN52" s="34"/>
      <c r="AO52" s="34"/>
      <c r="AP52" s="34"/>
      <c r="AQ52" s="33"/>
      <c r="AR52" s="34"/>
      <c r="AS52" s="34"/>
      <c r="AT52" s="34"/>
      <c r="AU52" s="33"/>
      <c r="AV52" s="34"/>
      <c r="AW52" s="34"/>
      <c r="AX52" s="34"/>
      <c r="AY52" s="33"/>
      <c r="AZ52" s="34"/>
      <c r="BA52" s="34"/>
      <c r="BB52" s="34"/>
      <c r="BC52" s="34"/>
      <c r="BD52" s="34"/>
      <c r="BE52" s="33"/>
      <c r="BF52" s="34"/>
      <c r="BG52" s="34"/>
      <c r="BH52" s="34"/>
      <c r="BI52" s="33"/>
    </row>
    <row r="53" spans="1:61" ht="15.75" customHeight="1" x14ac:dyDescent="0.3">
      <c r="A53" s="33"/>
      <c r="B53" s="34"/>
      <c r="C53" s="34"/>
      <c r="D53" s="34"/>
      <c r="E53" s="33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3"/>
      <c r="S53" s="34"/>
      <c r="T53" s="34"/>
      <c r="U53" s="34"/>
      <c r="V53" s="34"/>
      <c r="W53" s="33"/>
      <c r="X53" s="34"/>
      <c r="Y53" s="34"/>
      <c r="Z53" s="34"/>
      <c r="AA53" s="34"/>
      <c r="AB53" s="34"/>
      <c r="AC53" s="34"/>
      <c r="AD53" s="34"/>
      <c r="AE53" s="33"/>
      <c r="AF53" s="34"/>
      <c r="AG53" s="34"/>
      <c r="AH53" s="34"/>
      <c r="AI53" s="34"/>
      <c r="AJ53" s="34"/>
      <c r="AK53" s="34"/>
      <c r="AL53" s="34"/>
      <c r="AM53" s="33"/>
      <c r="AN53" s="34"/>
      <c r="AO53" s="34"/>
      <c r="AP53" s="34"/>
      <c r="AQ53" s="33"/>
      <c r="AR53" s="34"/>
      <c r="AS53" s="34"/>
      <c r="AT53" s="34"/>
      <c r="AU53" s="33"/>
      <c r="AV53" s="34"/>
      <c r="AW53" s="34"/>
      <c r="AX53" s="34"/>
      <c r="AY53" s="33"/>
      <c r="AZ53" s="34"/>
      <c r="BA53" s="34"/>
      <c r="BB53" s="34"/>
      <c r="BC53" s="34"/>
      <c r="BD53" s="34"/>
      <c r="BE53" s="33"/>
      <c r="BF53" s="34"/>
      <c r="BG53" s="34"/>
      <c r="BH53" s="34"/>
      <c r="BI53" s="33"/>
    </row>
    <row r="54" spans="1:61" ht="15.75" customHeight="1" x14ac:dyDescent="0.3">
      <c r="A54" s="33"/>
      <c r="B54" s="34"/>
      <c r="C54" s="34"/>
      <c r="D54" s="34"/>
      <c r="E54" s="33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3"/>
      <c r="S54" s="34"/>
      <c r="T54" s="34"/>
      <c r="U54" s="34"/>
      <c r="V54" s="34"/>
      <c r="W54" s="33"/>
      <c r="X54" s="34"/>
      <c r="Y54" s="34"/>
      <c r="Z54" s="34"/>
      <c r="AA54" s="34"/>
      <c r="AB54" s="34"/>
      <c r="AC54" s="34"/>
      <c r="AD54" s="34"/>
      <c r="AE54" s="33"/>
      <c r="AF54" s="34"/>
      <c r="AG54" s="34"/>
      <c r="AH54" s="34"/>
      <c r="AI54" s="34"/>
      <c r="AJ54" s="34"/>
      <c r="AK54" s="34"/>
      <c r="AL54" s="34"/>
      <c r="AM54" s="33"/>
      <c r="AN54" s="34"/>
      <c r="AO54" s="34"/>
      <c r="AP54" s="34"/>
      <c r="AQ54" s="33"/>
      <c r="AR54" s="34"/>
      <c r="AS54" s="34"/>
      <c r="AT54" s="34"/>
      <c r="AU54" s="33"/>
      <c r="AV54" s="34"/>
      <c r="AW54" s="34"/>
      <c r="AX54" s="34"/>
      <c r="AY54" s="33"/>
      <c r="AZ54" s="34"/>
      <c r="BA54" s="34"/>
      <c r="BB54" s="34"/>
      <c r="BC54" s="34"/>
      <c r="BD54" s="34"/>
      <c r="BE54" s="33"/>
      <c r="BF54" s="34"/>
      <c r="BG54" s="34"/>
      <c r="BH54" s="34"/>
      <c r="BI54" s="33"/>
    </row>
    <row r="55" spans="1:61" ht="15.75" customHeight="1" x14ac:dyDescent="0.3">
      <c r="A55" s="33"/>
      <c r="B55" s="34"/>
      <c r="C55" s="34"/>
      <c r="D55" s="34"/>
      <c r="E55" s="33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3"/>
      <c r="S55" s="34"/>
      <c r="T55" s="34"/>
      <c r="U55" s="34"/>
      <c r="V55" s="34"/>
      <c r="W55" s="33"/>
      <c r="X55" s="34"/>
      <c r="Y55" s="34"/>
      <c r="Z55" s="34"/>
      <c r="AA55" s="34"/>
      <c r="AB55" s="34"/>
      <c r="AC55" s="34"/>
      <c r="AD55" s="34"/>
      <c r="AE55" s="33"/>
      <c r="AF55" s="34"/>
      <c r="AG55" s="34"/>
      <c r="AH55" s="34"/>
      <c r="AI55" s="34"/>
      <c r="AJ55" s="34"/>
      <c r="AK55" s="34"/>
      <c r="AL55" s="34"/>
      <c r="AM55" s="33"/>
      <c r="AN55" s="34"/>
      <c r="AO55" s="34"/>
      <c r="AP55" s="34"/>
      <c r="AQ55" s="33"/>
      <c r="AR55" s="34"/>
      <c r="AS55" s="34"/>
      <c r="AT55" s="34"/>
      <c r="AU55" s="33"/>
      <c r="AV55" s="34"/>
      <c r="AW55" s="34"/>
      <c r="AX55" s="34"/>
      <c r="AY55" s="33"/>
      <c r="AZ55" s="34"/>
      <c r="BA55" s="34"/>
      <c r="BB55" s="34"/>
      <c r="BC55" s="34"/>
      <c r="BD55" s="34"/>
      <c r="BE55" s="33"/>
      <c r="BF55" s="34"/>
      <c r="BG55" s="34"/>
      <c r="BH55" s="34"/>
      <c r="BI55" s="33"/>
    </row>
  </sheetData>
  <dataValidations count="1">
    <dataValidation type="list" allowBlank="1" sqref="T3:T12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10"/>
  <sheetViews>
    <sheetView showGridLines="0" workbookViewId="0">
      <pane xSplit="2" ySplit="2" topLeftCell="C144" activePane="bottomRight" state="frozen"/>
      <selection pane="topRight" activeCell="C1" sqref="C1"/>
      <selection pane="bottomLeft" activeCell="A3" sqref="A3"/>
      <selection pane="bottomRight" activeCell="H156" activeCellId="12" sqref="D9 H13 H26 H39 H52 H65 H78 H91 H104 H117 H130 H143 H156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9" width="12" customWidth="1"/>
    <col min="10" max="10" width="2.88671875" customWidth="1"/>
    <col min="11" max="17" width="12" customWidth="1"/>
    <col min="18" max="18" width="2.88671875" customWidth="1"/>
    <col min="19" max="25" width="12" customWidth="1"/>
    <col min="26" max="26" width="2.88671875" customWidth="1"/>
    <col min="27" max="29" width="12" customWidth="1"/>
    <col min="30" max="30" width="2.88671875" customWidth="1"/>
    <col min="31" max="33" width="12" customWidth="1"/>
    <col min="34" max="34" width="2.88671875" customWidth="1"/>
    <col min="35" max="37" width="12" hidden="1" customWidth="1"/>
    <col min="38" max="38" width="2.88671875" hidden="1" customWidth="1"/>
    <col min="39" max="41" width="12" customWidth="1"/>
    <col min="42" max="42" width="2.88671875" customWidth="1"/>
  </cols>
  <sheetData>
    <row r="1" spans="1:42" ht="13.8" x14ac:dyDescent="0.3">
      <c r="A1" s="26"/>
      <c r="B1" s="27"/>
      <c r="C1" s="27"/>
      <c r="D1" s="27"/>
      <c r="E1" s="26"/>
      <c r="F1" s="27"/>
      <c r="G1" s="27"/>
      <c r="H1" s="27"/>
      <c r="I1" s="27"/>
      <c r="J1" s="26"/>
      <c r="K1" s="27"/>
      <c r="L1" s="27"/>
      <c r="M1" s="27"/>
      <c r="N1" s="27"/>
      <c r="O1" s="27"/>
      <c r="P1" s="27"/>
      <c r="Q1" s="27"/>
      <c r="R1" s="26"/>
      <c r="S1" s="27"/>
      <c r="T1" s="27"/>
      <c r="U1" s="27"/>
      <c r="V1" s="27"/>
      <c r="W1" s="27"/>
      <c r="X1" s="27"/>
      <c r="Y1" s="27"/>
      <c r="Z1" s="26"/>
      <c r="AA1" s="27"/>
      <c r="AB1" s="27"/>
      <c r="AC1" s="27"/>
      <c r="AD1" s="26"/>
      <c r="AE1" s="28"/>
      <c r="AF1" s="28"/>
      <c r="AG1" s="28"/>
      <c r="AH1" s="26" t="s">
        <v>65</v>
      </c>
      <c r="AI1" s="28"/>
      <c r="AJ1" s="28"/>
      <c r="AK1" s="28"/>
      <c r="AL1" s="26"/>
      <c r="AM1" s="28"/>
      <c r="AN1" s="28"/>
      <c r="AO1" s="28"/>
      <c r="AP1" s="26"/>
    </row>
    <row r="2" spans="1:42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3" t="s">
        <v>3</v>
      </c>
      <c r="G2" s="3" t="s">
        <v>4</v>
      </c>
      <c r="H2" s="3" t="s">
        <v>5</v>
      </c>
      <c r="I2" s="3" t="s">
        <v>6</v>
      </c>
      <c r="J2" s="1"/>
      <c r="K2" s="4" t="s">
        <v>7</v>
      </c>
      <c r="L2" s="3" t="s">
        <v>8</v>
      </c>
      <c r="M2" s="4" t="s">
        <v>9</v>
      </c>
      <c r="N2" s="3" t="s">
        <v>10</v>
      </c>
      <c r="O2" s="4" t="s">
        <v>11</v>
      </c>
      <c r="P2" s="4" t="s">
        <v>12</v>
      </c>
      <c r="Q2" s="4" t="s">
        <v>13</v>
      </c>
      <c r="R2" s="1"/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  <c r="Z2" s="1"/>
      <c r="AA2" s="6" t="s">
        <v>21</v>
      </c>
      <c r="AB2" s="7" t="s">
        <v>22</v>
      </c>
      <c r="AC2" s="8" t="s">
        <v>23</v>
      </c>
      <c r="AD2" s="1"/>
      <c r="AE2" s="6" t="s">
        <v>24</v>
      </c>
      <c r="AF2" s="8" t="s">
        <v>25</v>
      </c>
      <c r="AG2" s="8" t="s">
        <v>26</v>
      </c>
      <c r="AH2" s="1"/>
      <c r="AI2" s="9" t="s">
        <v>27</v>
      </c>
      <c r="AJ2" s="8" t="s">
        <v>28</v>
      </c>
      <c r="AK2" s="8" t="s">
        <v>29</v>
      </c>
      <c r="AL2" s="1"/>
      <c r="AM2" s="9" t="s">
        <v>30</v>
      </c>
      <c r="AN2" s="8" t="s">
        <v>31</v>
      </c>
      <c r="AO2" s="8" t="s">
        <v>32</v>
      </c>
      <c r="AP2" s="1"/>
    </row>
    <row r="3" spans="1:42" ht="30.75" customHeight="1" x14ac:dyDescent="0.3">
      <c r="A3" s="10"/>
      <c r="B3" s="11"/>
      <c r="C3" s="12"/>
      <c r="D3" s="12"/>
      <c r="E3" s="10"/>
      <c r="F3" s="13" t="s">
        <v>70</v>
      </c>
      <c r="G3" s="14" t="s">
        <v>33</v>
      </c>
      <c r="H3" s="15"/>
      <c r="I3" s="16">
        <f>IFERROR(S3*AA3,"-")</f>
        <v>0</v>
      </c>
      <c r="J3" s="10"/>
      <c r="K3" s="17">
        <f t="shared" ref="K3:K12" si="0">IFERROR((H3*I3),"-")</f>
        <v>0</v>
      </c>
      <c r="L3" s="18"/>
      <c r="M3" s="17">
        <f t="shared" ref="M3:M12" si="1">IFERROR(K3*(1-L3),"-")</f>
        <v>0</v>
      </c>
      <c r="N3" s="19"/>
      <c r="O3" s="17">
        <f t="shared" ref="O3:O12" si="2">IFERROR(M3*(1+N3),"-")</f>
        <v>0</v>
      </c>
      <c r="P3" s="17">
        <f t="shared" ref="P3:P13" si="3">IFERROR(O3*1.22,"-")</f>
        <v>0</v>
      </c>
      <c r="Q3" s="18" t="str">
        <f t="shared" ref="Q3:Q12" si="4">IFERROR(P3/$P$13,"-")</f>
        <v>-</v>
      </c>
      <c r="R3" s="10"/>
      <c r="S3" s="20"/>
      <c r="T3" s="16"/>
      <c r="U3" s="13" t="s">
        <v>35</v>
      </c>
      <c r="V3" s="17" t="str">
        <f t="shared" ref="V3:V13" si="5">IFERROR(P3/S3*1000,"-")</f>
        <v>-</v>
      </c>
      <c r="W3" s="17" t="str">
        <f t="shared" ref="W3:W13" si="6">IFERROR(P3/U3*1000,"-")</f>
        <v>-</v>
      </c>
      <c r="X3" s="16"/>
      <c r="Y3" s="18" t="str">
        <f t="shared" ref="Y3:Y12" si="7">IFERROR(U3/X3,"-")</f>
        <v>-</v>
      </c>
      <c r="Z3" s="10"/>
      <c r="AA3" s="19"/>
      <c r="AB3" s="13">
        <f t="shared" ref="AB3:AB12" si="8">IFERROR(ROUNDDOWN(S3*AA3,0),"-")</f>
        <v>0</v>
      </c>
      <c r="AC3" s="17" t="str">
        <f t="shared" ref="AC3:AC13" si="9">IFERROR(P3/AB3,"-")</f>
        <v>-</v>
      </c>
      <c r="AD3" s="10"/>
      <c r="AE3" s="19"/>
      <c r="AF3" s="13">
        <f t="shared" ref="AF3:AF12" si="10">IF(G3="CPI",AJ3*AE3,IFERROR(ROUNDDOWN(AB3*AE3,0),"-"))</f>
        <v>0</v>
      </c>
      <c r="AG3" s="17" t="str">
        <f t="shared" ref="AG3:AG13" si="11">IFERROR(P3/AF3,"-")</f>
        <v>-</v>
      </c>
      <c r="AH3" s="10"/>
      <c r="AI3" s="19"/>
      <c r="AJ3" s="13">
        <f t="shared" ref="AJ3:AJ12" si="12">IF(G3="CPI",I3,0)</f>
        <v>0</v>
      </c>
      <c r="AK3" s="17" t="str">
        <f t="shared" ref="AK3:AK12" si="13">IFERROR(P3/AJ3,"-")</f>
        <v>-</v>
      </c>
      <c r="AL3" s="10"/>
      <c r="AM3" s="18" t="str">
        <f t="shared" ref="AM3:AM13" si="14">IFERROR(P3/AO3,"-")</f>
        <v>-</v>
      </c>
      <c r="AN3" s="15"/>
      <c r="AO3" s="17">
        <f>AN3*AF3</f>
        <v>0</v>
      </c>
      <c r="AP3" s="10"/>
    </row>
    <row r="4" spans="1:42" ht="30.75" customHeight="1" x14ac:dyDescent="0.3">
      <c r="A4" s="10"/>
      <c r="B4" s="11"/>
      <c r="C4" s="12"/>
      <c r="D4" s="12"/>
      <c r="E4" s="10"/>
      <c r="F4" s="13" t="s">
        <v>70</v>
      </c>
      <c r="G4" s="14" t="s">
        <v>33</v>
      </c>
      <c r="H4" s="15"/>
      <c r="I4" s="16">
        <f t="shared" ref="I4:I12" si="15">IFERROR(S4*AA4,"-")</f>
        <v>0</v>
      </c>
      <c r="J4" s="10"/>
      <c r="K4" s="17">
        <f t="shared" si="0"/>
        <v>0</v>
      </c>
      <c r="L4" s="18"/>
      <c r="M4" s="17">
        <f t="shared" si="1"/>
        <v>0</v>
      </c>
      <c r="N4" s="19"/>
      <c r="O4" s="17">
        <f t="shared" si="2"/>
        <v>0</v>
      </c>
      <c r="P4" s="17">
        <f t="shared" si="3"/>
        <v>0</v>
      </c>
      <c r="Q4" s="18" t="str">
        <f t="shared" si="4"/>
        <v>-</v>
      </c>
      <c r="R4" s="10"/>
      <c r="S4" s="20"/>
      <c r="T4" s="16"/>
      <c r="U4" s="13" t="s">
        <v>35</v>
      </c>
      <c r="V4" s="17" t="str">
        <f t="shared" si="5"/>
        <v>-</v>
      </c>
      <c r="W4" s="17" t="str">
        <f t="shared" si="6"/>
        <v>-</v>
      </c>
      <c r="X4" s="16"/>
      <c r="Y4" s="18" t="str">
        <f t="shared" si="7"/>
        <v>-</v>
      </c>
      <c r="Z4" s="10"/>
      <c r="AA4" s="19"/>
      <c r="AB4" s="13">
        <f t="shared" si="8"/>
        <v>0</v>
      </c>
      <c r="AC4" s="17" t="str">
        <f t="shared" si="9"/>
        <v>-</v>
      </c>
      <c r="AD4" s="10"/>
      <c r="AE4" s="19"/>
      <c r="AF4" s="13">
        <f t="shared" si="10"/>
        <v>0</v>
      </c>
      <c r="AG4" s="17" t="str">
        <f t="shared" si="11"/>
        <v>-</v>
      </c>
      <c r="AH4" s="10"/>
      <c r="AI4" s="19"/>
      <c r="AJ4" s="13">
        <f t="shared" si="12"/>
        <v>0</v>
      </c>
      <c r="AK4" s="17" t="str">
        <f t="shared" si="13"/>
        <v>-</v>
      </c>
      <c r="AL4" s="10"/>
      <c r="AM4" s="18" t="str">
        <f t="shared" si="14"/>
        <v>-</v>
      </c>
      <c r="AN4" s="15"/>
      <c r="AO4" s="17">
        <f t="shared" ref="AO4:AO12" si="16">AN4*AF4</f>
        <v>0</v>
      </c>
      <c r="AP4" s="10"/>
    </row>
    <row r="5" spans="1:42" ht="30.75" customHeight="1" x14ac:dyDescent="0.3">
      <c r="A5" s="10"/>
      <c r="B5" s="11"/>
      <c r="C5" s="12"/>
      <c r="D5" s="12"/>
      <c r="E5" s="10"/>
      <c r="F5" s="13" t="s">
        <v>70</v>
      </c>
      <c r="G5" s="14" t="s">
        <v>33</v>
      </c>
      <c r="H5" s="15"/>
      <c r="I5" s="16">
        <f t="shared" ref="I5:I9" si="17">IFERROR(S5*AA5,"-")</f>
        <v>0</v>
      </c>
      <c r="J5" s="10"/>
      <c r="K5" s="17">
        <f t="shared" ref="K5:K9" si="18">IFERROR((H5*I5),"-")</f>
        <v>0</v>
      </c>
      <c r="L5" s="18"/>
      <c r="M5" s="17">
        <f t="shared" ref="M5:M9" si="19">IFERROR(K5*(1-L5),"-")</f>
        <v>0</v>
      </c>
      <c r="N5" s="19"/>
      <c r="O5" s="17">
        <f t="shared" ref="O5:O9" si="20">IFERROR(M5*(1+N5),"-")</f>
        <v>0</v>
      </c>
      <c r="P5" s="17">
        <f t="shared" si="3"/>
        <v>0</v>
      </c>
      <c r="Q5" s="18" t="str">
        <f t="shared" ref="Q5:Q9" si="21">IFERROR(P5/$P$13,"-")</f>
        <v>-</v>
      </c>
      <c r="R5" s="10"/>
      <c r="S5" s="20"/>
      <c r="T5" s="16"/>
      <c r="U5" s="13" t="s">
        <v>35</v>
      </c>
      <c r="V5" s="17" t="str">
        <f t="shared" ref="V5:V9" si="22">IFERROR(P5/S5*1000,"-")</f>
        <v>-</v>
      </c>
      <c r="W5" s="17" t="str">
        <f t="shared" ref="W5:W9" si="23">IFERROR(P5/U5*1000,"-")</f>
        <v>-</v>
      </c>
      <c r="X5" s="16"/>
      <c r="Y5" s="18" t="str">
        <f t="shared" ref="Y5:Y9" si="24">IFERROR(U5/X5,"-")</f>
        <v>-</v>
      </c>
      <c r="Z5" s="10"/>
      <c r="AA5" s="19"/>
      <c r="AB5" s="13">
        <f t="shared" ref="AB5:AB9" si="25">IFERROR(ROUNDDOWN(S5*AA5,0),"-")</f>
        <v>0</v>
      </c>
      <c r="AC5" s="17" t="str">
        <f t="shared" ref="AC5:AC9" si="26">IFERROR(P5/AB5,"-")</f>
        <v>-</v>
      </c>
      <c r="AD5" s="10"/>
      <c r="AE5" s="19"/>
      <c r="AF5" s="13">
        <f t="shared" ref="AF5:AF9" si="27">IF(G5="CPI",AJ5*AE5,IFERROR(ROUNDDOWN(AB5*AE5,0),"-"))</f>
        <v>0</v>
      </c>
      <c r="AG5" s="17" t="str">
        <f t="shared" ref="AG5:AG9" si="28">IFERROR(P5/AF5,"-")</f>
        <v>-</v>
      </c>
      <c r="AH5" s="10"/>
      <c r="AI5" s="19"/>
      <c r="AJ5" s="13">
        <f t="shared" ref="AJ5:AJ9" si="29">IF(G5="CPI",I5,0)</f>
        <v>0</v>
      </c>
      <c r="AK5" s="17" t="str">
        <f t="shared" ref="AK5:AK9" si="30">IFERROR(P5/AJ5,"-")</f>
        <v>-</v>
      </c>
      <c r="AL5" s="10"/>
      <c r="AM5" s="18" t="str">
        <f t="shared" ref="AM5:AM9" si="31">IFERROR(P5/AO5,"-")</f>
        <v>-</v>
      </c>
      <c r="AN5" s="15"/>
      <c r="AO5" s="17">
        <f t="shared" si="16"/>
        <v>0</v>
      </c>
      <c r="AP5" s="10"/>
    </row>
    <row r="6" spans="1:42" ht="30.75" customHeight="1" x14ac:dyDescent="0.3">
      <c r="A6" s="10"/>
      <c r="B6" s="11"/>
      <c r="C6" s="12"/>
      <c r="D6" s="12"/>
      <c r="E6" s="10"/>
      <c r="F6" s="13" t="s">
        <v>70</v>
      </c>
      <c r="G6" s="14" t="s">
        <v>33</v>
      </c>
      <c r="H6" s="15"/>
      <c r="I6" s="16">
        <f t="shared" si="17"/>
        <v>0</v>
      </c>
      <c r="J6" s="10"/>
      <c r="K6" s="17">
        <f t="shared" si="18"/>
        <v>0</v>
      </c>
      <c r="L6" s="18"/>
      <c r="M6" s="17">
        <f t="shared" si="19"/>
        <v>0</v>
      </c>
      <c r="N6" s="19"/>
      <c r="O6" s="17">
        <f t="shared" si="20"/>
        <v>0</v>
      </c>
      <c r="P6" s="17">
        <f t="shared" si="3"/>
        <v>0</v>
      </c>
      <c r="Q6" s="18" t="str">
        <f t="shared" si="21"/>
        <v>-</v>
      </c>
      <c r="R6" s="10"/>
      <c r="S6" s="20"/>
      <c r="T6" s="16"/>
      <c r="U6" s="13" t="s">
        <v>35</v>
      </c>
      <c r="V6" s="17" t="str">
        <f t="shared" si="22"/>
        <v>-</v>
      </c>
      <c r="W6" s="17" t="str">
        <f t="shared" si="23"/>
        <v>-</v>
      </c>
      <c r="X6" s="16"/>
      <c r="Y6" s="18" t="str">
        <f t="shared" si="24"/>
        <v>-</v>
      </c>
      <c r="Z6" s="10"/>
      <c r="AA6" s="19"/>
      <c r="AB6" s="13">
        <f t="shared" si="25"/>
        <v>0</v>
      </c>
      <c r="AC6" s="17" t="str">
        <f t="shared" si="26"/>
        <v>-</v>
      </c>
      <c r="AD6" s="10"/>
      <c r="AE6" s="19"/>
      <c r="AF6" s="13">
        <f t="shared" si="27"/>
        <v>0</v>
      </c>
      <c r="AG6" s="17" t="str">
        <f t="shared" si="28"/>
        <v>-</v>
      </c>
      <c r="AH6" s="10"/>
      <c r="AI6" s="19"/>
      <c r="AJ6" s="13">
        <f t="shared" si="29"/>
        <v>0</v>
      </c>
      <c r="AK6" s="17" t="str">
        <f t="shared" si="30"/>
        <v>-</v>
      </c>
      <c r="AL6" s="10"/>
      <c r="AM6" s="18" t="str">
        <f t="shared" si="31"/>
        <v>-</v>
      </c>
      <c r="AN6" s="15"/>
      <c r="AO6" s="17">
        <f t="shared" si="16"/>
        <v>0</v>
      </c>
      <c r="AP6" s="10"/>
    </row>
    <row r="7" spans="1:42" ht="30.75" customHeight="1" x14ac:dyDescent="0.3">
      <c r="A7" s="10"/>
      <c r="B7" s="11"/>
      <c r="C7" s="12"/>
      <c r="D7" s="12"/>
      <c r="E7" s="10"/>
      <c r="F7" s="13" t="s">
        <v>70</v>
      </c>
      <c r="G7" s="14" t="s">
        <v>33</v>
      </c>
      <c r="H7" s="15"/>
      <c r="I7" s="16">
        <f t="shared" si="17"/>
        <v>0</v>
      </c>
      <c r="J7" s="10"/>
      <c r="K7" s="17">
        <f t="shared" si="18"/>
        <v>0</v>
      </c>
      <c r="L7" s="18"/>
      <c r="M7" s="17">
        <f t="shared" si="19"/>
        <v>0</v>
      </c>
      <c r="N7" s="19"/>
      <c r="O7" s="17">
        <f t="shared" si="20"/>
        <v>0</v>
      </c>
      <c r="P7" s="17">
        <f t="shared" si="3"/>
        <v>0</v>
      </c>
      <c r="Q7" s="18" t="str">
        <f t="shared" si="21"/>
        <v>-</v>
      </c>
      <c r="R7" s="10"/>
      <c r="S7" s="20"/>
      <c r="T7" s="16"/>
      <c r="U7" s="13" t="s">
        <v>35</v>
      </c>
      <c r="V7" s="17" t="str">
        <f t="shared" si="22"/>
        <v>-</v>
      </c>
      <c r="W7" s="17" t="str">
        <f t="shared" si="23"/>
        <v>-</v>
      </c>
      <c r="X7" s="16"/>
      <c r="Y7" s="18" t="str">
        <f t="shared" si="24"/>
        <v>-</v>
      </c>
      <c r="Z7" s="10"/>
      <c r="AA7" s="19"/>
      <c r="AB7" s="13">
        <f t="shared" si="25"/>
        <v>0</v>
      </c>
      <c r="AC7" s="17" t="str">
        <f t="shared" si="26"/>
        <v>-</v>
      </c>
      <c r="AD7" s="10"/>
      <c r="AE7" s="19"/>
      <c r="AF7" s="13">
        <f t="shared" si="27"/>
        <v>0</v>
      </c>
      <c r="AG7" s="17" t="str">
        <f t="shared" si="28"/>
        <v>-</v>
      </c>
      <c r="AH7" s="10"/>
      <c r="AI7" s="19"/>
      <c r="AJ7" s="13">
        <f t="shared" si="29"/>
        <v>0</v>
      </c>
      <c r="AK7" s="17" t="str">
        <f t="shared" si="30"/>
        <v>-</v>
      </c>
      <c r="AL7" s="10"/>
      <c r="AM7" s="18" t="str">
        <f t="shared" si="31"/>
        <v>-</v>
      </c>
      <c r="AN7" s="15"/>
      <c r="AO7" s="17">
        <f t="shared" si="16"/>
        <v>0</v>
      </c>
      <c r="AP7" s="10"/>
    </row>
    <row r="8" spans="1:42" ht="30.75" customHeight="1" x14ac:dyDescent="0.3">
      <c r="A8" s="10"/>
      <c r="B8" s="11"/>
      <c r="C8" s="12"/>
      <c r="D8" s="12"/>
      <c r="E8" s="10"/>
      <c r="F8" s="13" t="s">
        <v>70</v>
      </c>
      <c r="G8" s="14" t="s">
        <v>33</v>
      </c>
      <c r="H8" s="15"/>
      <c r="I8" s="16">
        <f t="shared" si="17"/>
        <v>0</v>
      </c>
      <c r="J8" s="10"/>
      <c r="K8" s="17">
        <f t="shared" si="18"/>
        <v>0</v>
      </c>
      <c r="L8" s="18"/>
      <c r="M8" s="17">
        <f t="shared" si="19"/>
        <v>0</v>
      </c>
      <c r="N8" s="19"/>
      <c r="O8" s="17">
        <f t="shared" si="20"/>
        <v>0</v>
      </c>
      <c r="P8" s="17">
        <f t="shared" si="3"/>
        <v>0</v>
      </c>
      <c r="Q8" s="18" t="str">
        <f t="shared" si="21"/>
        <v>-</v>
      </c>
      <c r="R8" s="10"/>
      <c r="S8" s="20"/>
      <c r="T8" s="16"/>
      <c r="U8" s="13" t="s">
        <v>35</v>
      </c>
      <c r="V8" s="17" t="str">
        <f t="shared" si="22"/>
        <v>-</v>
      </c>
      <c r="W8" s="17" t="str">
        <f t="shared" si="23"/>
        <v>-</v>
      </c>
      <c r="X8" s="16"/>
      <c r="Y8" s="18" t="str">
        <f t="shared" si="24"/>
        <v>-</v>
      </c>
      <c r="Z8" s="10"/>
      <c r="AA8" s="19"/>
      <c r="AB8" s="13">
        <f t="shared" si="25"/>
        <v>0</v>
      </c>
      <c r="AC8" s="17" t="str">
        <f t="shared" si="26"/>
        <v>-</v>
      </c>
      <c r="AD8" s="10"/>
      <c r="AE8" s="19"/>
      <c r="AF8" s="13">
        <f t="shared" si="27"/>
        <v>0</v>
      </c>
      <c r="AG8" s="17" t="str">
        <f t="shared" si="28"/>
        <v>-</v>
      </c>
      <c r="AH8" s="10"/>
      <c r="AI8" s="19"/>
      <c r="AJ8" s="13">
        <f t="shared" si="29"/>
        <v>0</v>
      </c>
      <c r="AK8" s="17" t="str">
        <f t="shared" si="30"/>
        <v>-</v>
      </c>
      <c r="AL8" s="10"/>
      <c r="AM8" s="18" t="str">
        <f t="shared" si="31"/>
        <v>-</v>
      </c>
      <c r="AN8" s="15"/>
      <c r="AO8" s="17">
        <f t="shared" si="16"/>
        <v>0</v>
      </c>
      <c r="AP8" s="10"/>
    </row>
    <row r="9" spans="1:42" ht="30.75" customHeight="1" x14ac:dyDescent="0.3">
      <c r="A9" s="10"/>
      <c r="B9" s="11"/>
      <c r="C9" s="12"/>
      <c r="D9" s="38"/>
      <c r="E9" s="10"/>
      <c r="F9" s="13" t="s">
        <v>70</v>
      </c>
      <c r="G9" s="14" t="s">
        <v>33</v>
      </c>
      <c r="H9" s="15"/>
      <c r="I9" s="16">
        <f t="shared" si="17"/>
        <v>0</v>
      </c>
      <c r="J9" s="10"/>
      <c r="K9" s="17">
        <f t="shared" si="18"/>
        <v>0</v>
      </c>
      <c r="L9" s="18"/>
      <c r="M9" s="17">
        <f t="shared" si="19"/>
        <v>0</v>
      </c>
      <c r="N9" s="19"/>
      <c r="O9" s="17">
        <f t="shared" si="20"/>
        <v>0</v>
      </c>
      <c r="P9" s="17">
        <f t="shared" si="3"/>
        <v>0</v>
      </c>
      <c r="Q9" s="18" t="str">
        <f t="shared" si="21"/>
        <v>-</v>
      </c>
      <c r="R9" s="10"/>
      <c r="S9" s="20"/>
      <c r="T9" s="16"/>
      <c r="U9" s="13" t="s">
        <v>35</v>
      </c>
      <c r="V9" s="17" t="str">
        <f t="shared" si="22"/>
        <v>-</v>
      </c>
      <c r="W9" s="17" t="str">
        <f t="shared" si="23"/>
        <v>-</v>
      </c>
      <c r="X9" s="16"/>
      <c r="Y9" s="18" t="str">
        <f t="shared" si="24"/>
        <v>-</v>
      </c>
      <c r="Z9" s="10"/>
      <c r="AA9" s="19"/>
      <c r="AB9" s="13">
        <f t="shared" si="25"/>
        <v>0</v>
      </c>
      <c r="AC9" s="17" t="str">
        <f t="shared" si="26"/>
        <v>-</v>
      </c>
      <c r="AD9" s="10"/>
      <c r="AE9" s="19"/>
      <c r="AF9" s="13">
        <f t="shared" si="27"/>
        <v>0</v>
      </c>
      <c r="AG9" s="17" t="str">
        <f t="shared" si="28"/>
        <v>-</v>
      </c>
      <c r="AH9" s="10"/>
      <c r="AI9" s="19"/>
      <c r="AJ9" s="13">
        <f t="shared" si="29"/>
        <v>0</v>
      </c>
      <c r="AK9" s="17" t="str">
        <f t="shared" si="30"/>
        <v>-</v>
      </c>
      <c r="AL9" s="10"/>
      <c r="AM9" s="18" t="str">
        <f t="shared" si="31"/>
        <v>-</v>
      </c>
      <c r="AN9" s="15"/>
      <c r="AO9" s="17">
        <f t="shared" si="16"/>
        <v>0</v>
      </c>
      <c r="AP9" s="10"/>
    </row>
    <row r="10" spans="1:42" ht="30.75" customHeight="1" x14ac:dyDescent="0.3">
      <c r="A10" s="10"/>
      <c r="B10" s="11"/>
      <c r="C10" s="12"/>
      <c r="D10" s="12"/>
      <c r="E10" s="10"/>
      <c r="F10" s="13" t="s">
        <v>70</v>
      </c>
      <c r="G10" s="14" t="s">
        <v>33</v>
      </c>
      <c r="H10" s="15"/>
      <c r="I10" s="16">
        <f t="shared" si="15"/>
        <v>0</v>
      </c>
      <c r="J10" s="10"/>
      <c r="K10" s="17">
        <f t="shared" si="0"/>
        <v>0</v>
      </c>
      <c r="L10" s="18"/>
      <c r="M10" s="17">
        <f t="shared" si="1"/>
        <v>0</v>
      </c>
      <c r="N10" s="19"/>
      <c r="O10" s="17">
        <f t="shared" si="2"/>
        <v>0</v>
      </c>
      <c r="P10" s="17">
        <f t="shared" si="3"/>
        <v>0</v>
      </c>
      <c r="Q10" s="18" t="str">
        <f t="shared" si="4"/>
        <v>-</v>
      </c>
      <c r="R10" s="10"/>
      <c r="S10" s="20"/>
      <c r="T10" s="16"/>
      <c r="U10" s="13" t="s">
        <v>35</v>
      </c>
      <c r="V10" s="17" t="str">
        <f t="shared" si="5"/>
        <v>-</v>
      </c>
      <c r="W10" s="17" t="str">
        <f t="shared" si="6"/>
        <v>-</v>
      </c>
      <c r="X10" s="16"/>
      <c r="Y10" s="18" t="str">
        <f t="shared" si="7"/>
        <v>-</v>
      </c>
      <c r="Z10" s="10"/>
      <c r="AA10" s="19"/>
      <c r="AB10" s="13">
        <f t="shared" si="8"/>
        <v>0</v>
      </c>
      <c r="AC10" s="17" t="str">
        <f t="shared" si="9"/>
        <v>-</v>
      </c>
      <c r="AD10" s="10"/>
      <c r="AE10" s="19"/>
      <c r="AF10" s="13">
        <f t="shared" si="10"/>
        <v>0</v>
      </c>
      <c r="AG10" s="17" t="str">
        <f t="shared" si="11"/>
        <v>-</v>
      </c>
      <c r="AH10" s="10"/>
      <c r="AI10" s="19"/>
      <c r="AJ10" s="13">
        <f t="shared" si="12"/>
        <v>0</v>
      </c>
      <c r="AK10" s="17" t="str">
        <f t="shared" si="13"/>
        <v>-</v>
      </c>
      <c r="AL10" s="10"/>
      <c r="AM10" s="18" t="str">
        <f t="shared" si="14"/>
        <v>-</v>
      </c>
      <c r="AN10" s="15"/>
      <c r="AO10" s="17">
        <f t="shared" si="16"/>
        <v>0</v>
      </c>
      <c r="AP10" s="10"/>
    </row>
    <row r="11" spans="1:42" ht="30.75" customHeight="1" x14ac:dyDescent="0.3">
      <c r="A11" s="10"/>
      <c r="B11" s="11"/>
      <c r="C11" s="12"/>
      <c r="D11" s="12"/>
      <c r="E11" s="10"/>
      <c r="F11" s="13" t="s">
        <v>70</v>
      </c>
      <c r="G11" s="14" t="s">
        <v>33</v>
      </c>
      <c r="H11" s="15"/>
      <c r="I11" s="16">
        <f t="shared" si="15"/>
        <v>0</v>
      </c>
      <c r="J11" s="10"/>
      <c r="K11" s="17">
        <f t="shared" si="0"/>
        <v>0</v>
      </c>
      <c r="L11" s="18"/>
      <c r="M11" s="17">
        <f t="shared" si="1"/>
        <v>0</v>
      </c>
      <c r="N11" s="19"/>
      <c r="O11" s="17">
        <f t="shared" si="2"/>
        <v>0</v>
      </c>
      <c r="P11" s="17">
        <f t="shared" si="3"/>
        <v>0</v>
      </c>
      <c r="Q11" s="18" t="str">
        <f t="shared" si="4"/>
        <v>-</v>
      </c>
      <c r="R11" s="10"/>
      <c r="S11" s="20"/>
      <c r="T11" s="16"/>
      <c r="U11" s="13" t="s">
        <v>35</v>
      </c>
      <c r="V11" s="17" t="str">
        <f t="shared" si="5"/>
        <v>-</v>
      </c>
      <c r="W11" s="17" t="str">
        <f t="shared" si="6"/>
        <v>-</v>
      </c>
      <c r="X11" s="16"/>
      <c r="Y11" s="18" t="str">
        <f t="shared" si="7"/>
        <v>-</v>
      </c>
      <c r="Z11" s="10"/>
      <c r="AA11" s="19"/>
      <c r="AB11" s="13">
        <f t="shared" si="8"/>
        <v>0</v>
      </c>
      <c r="AC11" s="17" t="str">
        <f t="shared" si="9"/>
        <v>-</v>
      </c>
      <c r="AD11" s="10"/>
      <c r="AE11" s="19"/>
      <c r="AF11" s="13">
        <f t="shared" si="10"/>
        <v>0</v>
      </c>
      <c r="AG11" s="17" t="str">
        <f t="shared" si="11"/>
        <v>-</v>
      </c>
      <c r="AH11" s="10"/>
      <c r="AI11" s="19"/>
      <c r="AJ11" s="13">
        <f t="shared" si="12"/>
        <v>0</v>
      </c>
      <c r="AK11" s="17" t="str">
        <f t="shared" si="13"/>
        <v>-</v>
      </c>
      <c r="AL11" s="10"/>
      <c r="AM11" s="18" t="str">
        <f t="shared" si="14"/>
        <v>-</v>
      </c>
      <c r="AN11" s="15"/>
      <c r="AO11" s="17">
        <f t="shared" si="16"/>
        <v>0</v>
      </c>
      <c r="AP11" s="10"/>
    </row>
    <row r="12" spans="1:42" ht="30.75" customHeight="1" x14ac:dyDescent="0.3">
      <c r="A12" s="10"/>
      <c r="B12" s="11"/>
      <c r="C12" s="12"/>
      <c r="D12" s="12"/>
      <c r="E12" s="10"/>
      <c r="F12" s="13" t="s">
        <v>70</v>
      </c>
      <c r="G12" s="14" t="s">
        <v>33</v>
      </c>
      <c r="H12" s="21"/>
      <c r="I12" s="16">
        <f t="shared" si="15"/>
        <v>0</v>
      </c>
      <c r="J12" s="10"/>
      <c r="K12" s="17">
        <f t="shared" si="0"/>
        <v>0</v>
      </c>
      <c r="L12" s="18"/>
      <c r="M12" s="17">
        <f t="shared" si="1"/>
        <v>0</v>
      </c>
      <c r="N12" s="19"/>
      <c r="O12" s="17">
        <f t="shared" si="2"/>
        <v>0</v>
      </c>
      <c r="P12" s="17">
        <f t="shared" si="3"/>
        <v>0</v>
      </c>
      <c r="Q12" s="18" t="str">
        <f t="shared" si="4"/>
        <v>-</v>
      </c>
      <c r="R12" s="10"/>
      <c r="S12" s="20"/>
      <c r="T12" s="16"/>
      <c r="U12" s="13" t="s">
        <v>35</v>
      </c>
      <c r="V12" s="17" t="str">
        <f t="shared" si="5"/>
        <v>-</v>
      </c>
      <c r="W12" s="17" t="str">
        <f t="shared" si="6"/>
        <v>-</v>
      </c>
      <c r="X12" s="16"/>
      <c r="Y12" s="18" t="str">
        <f t="shared" si="7"/>
        <v>-</v>
      </c>
      <c r="Z12" s="10"/>
      <c r="AA12" s="19"/>
      <c r="AB12" s="13">
        <f t="shared" si="8"/>
        <v>0</v>
      </c>
      <c r="AC12" s="17" t="str">
        <f t="shared" si="9"/>
        <v>-</v>
      </c>
      <c r="AD12" s="10"/>
      <c r="AE12" s="19"/>
      <c r="AF12" s="13">
        <f t="shared" si="10"/>
        <v>0</v>
      </c>
      <c r="AG12" s="17" t="str">
        <f t="shared" si="11"/>
        <v>-</v>
      </c>
      <c r="AH12" s="10"/>
      <c r="AI12" s="19"/>
      <c r="AJ12" s="13">
        <f t="shared" si="12"/>
        <v>0</v>
      </c>
      <c r="AK12" s="17" t="str">
        <f t="shared" si="13"/>
        <v>-</v>
      </c>
      <c r="AL12" s="10"/>
      <c r="AM12" s="18" t="str">
        <f t="shared" si="14"/>
        <v>-</v>
      </c>
      <c r="AN12" s="15"/>
      <c r="AO12" s="17">
        <f t="shared" si="16"/>
        <v>0</v>
      </c>
      <c r="AP12" s="10"/>
    </row>
    <row r="13" spans="1:42" ht="17.25" customHeight="1" x14ac:dyDescent="0.3">
      <c r="A13" s="22"/>
      <c r="B13" s="6" t="s">
        <v>34</v>
      </c>
      <c r="C13" s="9" t="s">
        <v>35</v>
      </c>
      <c r="D13" s="9" t="s">
        <v>35</v>
      </c>
      <c r="E13" s="22"/>
      <c r="F13" s="9" t="s">
        <v>35</v>
      </c>
      <c r="G13" s="6" t="s">
        <v>35</v>
      </c>
      <c r="H13" s="5" t="str">
        <f>IFERROR(K13/I13,"-")</f>
        <v>-</v>
      </c>
      <c r="I13" s="25">
        <f>IFERROR(SUM(I3:I12),"-")</f>
        <v>0</v>
      </c>
      <c r="J13" s="22"/>
      <c r="K13" s="23">
        <f>IFERROR(SUM(K3:K12),"-")</f>
        <v>0</v>
      </c>
      <c r="L13" s="6" t="s">
        <v>35</v>
      </c>
      <c r="M13" s="23">
        <f>IFERROR(SUM(M3:M12),"-")</f>
        <v>0</v>
      </c>
      <c r="N13" s="9" t="s">
        <v>35</v>
      </c>
      <c r="O13" s="23">
        <f>IFERROR(SUM(O3:O12),"-")</f>
        <v>0</v>
      </c>
      <c r="P13" s="23">
        <f t="shared" si="3"/>
        <v>0</v>
      </c>
      <c r="Q13" s="24">
        <v>0</v>
      </c>
      <c r="R13" s="22"/>
      <c r="S13" s="25">
        <f>IFERROR(SUM(S3:S12),"-")</f>
        <v>0</v>
      </c>
      <c r="T13" s="25" t="s">
        <v>35</v>
      </c>
      <c r="U13" s="25" t="s">
        <v>35</v>
      </c>
      <c r="V13" s="23" t="str">
        <f t="shared" si="5"/>
        <v>-</v>
      </c>
      <c r="W13" s="23" t="str">
        <f t="shared" si="6"/>
        <v>-</v>
      </c>
      <c r="X13" s="6" t="s">
        <v>35</v>
      </c>
      <c r="Y13" s="6" t="s">
        <v>35</v>
      </c>
      <c r="Z13" s="22"/>
      <c r="AA13" s="24" t="str">
        <f>IFERROR(AB13/S13,"-")</f>
        <v>-</v>
      </c>
      <c r="AB13" s="25">
        <f>IFERROR(SUM(AB3:AB12),"-")</f>
        <v>0</v>
      </c>
      <c r="AC13" s="23" t="str">
        <f t="shared" si="9"/>
        <v>-</v>
      </c>
      <c r="AD13" s="22"/>
      <c r="AE13" s="24" t="str">
        <f>IFERROR(AF13/AB13,"-")</f>
        <v>-</v>
      </c>
      <c r="AF13" s="25">
        <f>IFERROR(SUM(AF3:AF12),"-")</f>
        <v>0</v>
      </c>
      <c r="AG13" s="23" t="str">
        <f t="shared" si="11"/>
        <v>-</v>
      </c>
      <c r="AH13" s="22"/>
      <c r="AI13" s="24" t="str">
        <f>IFERROR(AJ13/AB13,"-")</f>
        <v>-</v>
      </c>
      <c r="AJ13" s="25">
        <v>0</v>
      </c>
      <c r="AK13" s="23" t="str">
        <f>IFERROR(L13/AJ13,"-")</f>
        <v>-</v>
      </c>
      <c r="AL13" s="22"/>
      <c r="AM13" s="24" t="str">
        <f t="shared" si="14"/>
        <v>-</v>
      </c>
      <c r="AN13" s="23" t="str">
        <f>IFERROR(AO13/AF13,"-")</f>
        <v>-</v>
      </c>
      <c r="AO13" s="23">
        <f>IFERROR(SUM(AO3:AO12),"-")</f>
        <v>0</v>
      </c>
      <c r="AP13" s="22"/>
    </row>
    <row r="14" spans="1:42" ht="13.8" x14ac:dyDescent="0.3">
      <c r="A14" s="26"/>
      <c r="B14" s="27"/>
      <c r="C14" s="27"/>
      <c r="D14" s="27"/>
      <c r="E14" s="26"/>
      <c r="F14" s="27"/>
      <c r="G14" s="27"/>
      <c r="H14" s="27"/>
      <c r="I14" s="27"/>
      <c r="J14" s="26"/>
      <c r="K14" s="27"/>
      <c r="L14" s="27"/>
      <c r="M14" s="27"/>
      <c r="N14" s="27"/>
      <c r="O14" s="27"/>
      <c r="P14" s="27"/>
      <c r="Q14" s="27"/>
      <c r="R14" s="26"/>
      <c r="S14" s="27"/>
      <c r="T14" s="27"/>
      <c r="U14" s="27"/>
      <c r="V14" s="27"/>
      <c r="W14" s="27"/>
      <c r="X14" s="27"/>
      <c r="Y14" s="27"/>
      <c r="Z14" s="26"/>
      <c r="AA14" s="27"/>
      <c r="AB14" s="27"/>
      <c r="AC14" s="27"/>
      <c r="AD14" s="26"/>
      <c r="AE14" s="28"/>
      <c r="AF14" s="28"/>
      <c r="AG14" s="28"/>
      <c r="AH14" s="26"/>
      <c r="AI14" s="28"/>
      <c r="AJ14" s="28"/>
      <c r="AK14" s="28"/>
      <c r="AL14" s="26"/>
      <c r="AM14" s="28"/>
      <c r="AN14" s="28"/>
      <c r="AO14" s="28"/>
      <c r="AP14" s="26"/>
    </row>
    <row r="15" spans="1:42" ht="51.75" customHeight="1" x14ac:dyDescent="0.3">
      <c r="A15" s="1"/>
      <c r="B15" s="2" t="s">
        <v>0</v>
      </c>
      <c r="C15" s="2" t="s">
        <v>1</v>
      </c>
      <c r="D15" s="2" t="s">
        <v>2</v>
      </c>
      <c r="E15" s="1"/>
      <c r="F15" s="3" t="s">
        <v>3</v>
      </c>
      <c r="G15" s="2" t="s">
        <v>66</v>
      </c>
      <c r="H15" s="2" t="s">
        <v>67</v>
      </c>
      <c r="I15" s="2" t="s">
        <v>68</v>
      </c>
      <c r="J15" s="1"/>
      <c r="K15" s="4" t="s">
        <v>7</v>
      </c>
      <c r="L15" s="3" t="s">
        <v>8</v>
      </c>
      <c r="M15" s="4" t="s">
        <v>9</v>
      </c>
      <c r="N15" s="3" t="s">
        <v>10</v>
      </c>
      <c r="O15" s="5" t="s">
        <v>11</v>
      </c>
      <c r="P15" s="5" t="s">
        <v>12</v>
      </c>
      <c r="Q15" s="4" t="s">
        <v>13</v>
      </c>
      <c r="R15" s="1"/>
      <c r="S15" s="2" t="s">
        <v>14</v>
      </c>
      <c r="T15" s="2" t="s">
        <v>15</v>
      </c>
      <c r="U15" s="2" t="s">
        <v>16</v>
      </c>
      <c r="V15" s="2" t="s">
        <v>17</v>
      </c>
      <c r="W15" s="2" t="s">
        <v>18</v>
      </c>
      <c r="X15" s="2" t="s">
        <v>19</v>
      </c>
      <c r="Y15" s="2" t="s">
        <v>20</v>
      </c>
      <c r="Z15" s="1"/>
      <c r="AA15" s="6" t="s">
        <v>21</v>
      </c>
      <c r="AB15" s="7" t="s">
        <v>22</v>
      </c>
      <c r="AC15" s="7" t="s">
        <v>23</v>
      </c>
      <c r="AD15" s="1"/>
      <c r="AE15" s="6" t="s">
        <v>24</v>
      </c>
      <c r="AF15" s="8" t="s">
        <v>25</v>
      </c>
      <c r="AG15" s="8" t="s">
        <v>26</v>
      </c>
      <c r="AH15" s="1"/>
      <c r="AI15" s="9" t="s">
        <v>27</v>
      </c>
      <c r="AJ15" s="8" t="s">
        <v>28</v>
      </c>
      <c r="AK15" s="8" t="s">
        <v>56</v>
      </c>
      <c r="AL15" s="1"/>
      <c r="AM15" s="9" t="s">
        <v>30</v>
      </c>
      <c r="AN15" s="8" t="s">
        <v>31</v>
      </c>
      <c r="AO15" s="8" t="s">
        <v>32</v>
      </c>
      <c r="AP15" s="1"/>
    </row>
    <row r="16" spans="1:42" ht="30.75" customHeight="1" x14ac:dyDescent="0.3">
      <c r="A16" s="10"/>
      <c r="B16" s="11"/>
      <c r="C16" s="12"/>
      <c r="D16" s="12"/>
      <c r="E16" s="10"/>
      <c r="F16" s="13" t="s">
        <v>71</v>
      </c>
      <c r="G16" s="14" t="s">
        <v>33</v>
      </c>
      <c r="H16" s="15"/>
      <c r="I16" s="16">
        <f>IFERROR(S16*AA16,"-")</f>
        <v>0</v>
      </c>
      <c r="J16" s="10"/>
      <c r="K16" s="17">
        <f t="shared" ref="K16:K25" si="32">IFERROR((H16*I16),"-")</f>
        <v>0</v>
      </c>
      <c r="L16" s="18"/>
      <c r="M16" s="17">
        <f t="shared" ref="M16:M25" si="33">IFERROR(K16*(1-L16),"-")</f>
        <v>0</v>
      </c>
      <c r="N16" s="19"/>
      <c r="O16" s="17">
        <f t="shared" ref="O16:O25" si="34">IFERROR(M16*(1+N16),"-")</f>
        <v>0</v>
      </c>
      <c r="P16" s="17">
        <f t="shared" ref="P16:P26" si="35">IFERROR(O16*1.22,"-")</f>
        <v>0</v>
      </c>
      <c r="Q16" s="18" t="str">
        <f t="shared" ref="Q16:Q25" si="36">IFERROR(P16/$P$13,"-")</f>
        <v>-</v>
      </c>
      <c r="R16" s="10"/>
      <c r="S16" s="20"/>
      <c r="T16" s="16"/>
      <c r="U16" s="13" t="s">
        <v>35</v>
      </c>
      <c r="V16" s="17" t="str">
        <f t="shared" ref="V16:V26" si="37">IFERROR(P16/S16*1000,"-")</f>
        <v>-</v>
      </c>
      <c r="W16" s="17" t="str">
        <f t="shared" ref="W16:W26" si="38">IFERROR(P16/U16*1000,"-")</f>
        <v>-</v>
      </c>
      <c r="X16" s="16"/>
      <c r="Y16" s="18" t="str">
        <f t="shared" ref="Y16:Y25" si="39">IFERROR(U16/X16,"-")</f>
        <v>-</v>
      </c>
      <c r="Z16" s="10"/>
      <c r="AA16" s="19"/>
      <c r="AB16" s="13">
        <f t="shared" ref="AB16:AB25" si="40">IFERROR(ROUNDDOWN(S16*AA16,0),"-")</f>
        <v>0</v>
      </c>
      <c r="AC16" s="17" t="str">
        <f t="shared" ref="AC16:AC26" si="41">IFERROR(P16/AB16,"-")</f>
        <v>-</v>
      </c>
      <c r="AD16" s="10"/>
      <c r="AE16" s="19"/>
      <c r="AF16" s="13">
        <f t="shared" ref="AF16:AF25" si="42">IF(G16="CPI",AJ16*AE16,IFERROR(ROUNDDOWN(AB16*AE16,0),"-"))</f>
        <v>0</v>
      </c>
      <c r="AG16" s="17" t="str">
        <f t="shared" ref="AG16:AG26" si="43">IFERROR(P16/AF16,"-")</f>
        <v>-</v>
      </c>
      <c r="AH16" s="10"/>
      <c r="AI16" s="19"/>
      <c r="AJ16" s="13">
        <f t="shared" ref="AJ16:AJ25" si="44">IF(G16="CPI",I16,0)</f>
        <v>0</v>
      </c>
      <c r="AK16" s="17" t="str">
        <f t="shared" ref="AK16:AK25" si="45">IFERROR(P16/AJ16,"-")</f>
        <v>-</v>
      </c>
      <c r="AL16" s="10"/>
      <c r="AM16" s="18" t="str">
        <f t="shared" ref="AM16:AM26" si="46">IFERROR(P16/AO16,"-")</f>
        <v>-</v>
      </c>
      <c r="AN16" s="15"/>
      <c r="AO16" s="17">
        <f>AN16*AF16</f>
        <v>0</v>
      </c>
      <c r="AP16" s="10"/>
    </row>
    <row r="17" spans="1:42" ht="30.75" customHeight="1" x14ac:dyDescent="0.3">
      <c r="A17" s="10"/>
      <c r="B17" s="11"/>
      <c r="C17" s="12"/>
      <c r="D17" s="12"/>
      <c r="E17" s="10"/>
      <c r="F17" s="13" t="s">
        <v>71</v>
      </c>
      <c r="G17" s="14" t="s">
        <v>33</v>
      </c>
      <c r="H17" s="15"/>
      <c r="I17" s="16">
        <f t="shared" ref="I17:I25" si="47">IFERROR(S17*AA17,"-")</f>
        <v>0</v>
      </c>
      <c r="J17" s="10"/>
      <c r="K17" s="17">
        <f t="shared" si="32"/>
        <v>0</v>
      </c>
      <c r="L17" s="18"/>
      <c r="M17" s="17">
        <f t="shared" si="33"/>
        <v>0</v>
      </c>
      <c r="N17" s="19"/>
      <c r="O17" s="17">
        <f t="shared" si="34"/>
        <v>0</v>
      </c>
      <c r="P17" s="17">
        <f t="shared" si="35"/>
        <v>0</v>
      </c>
      <c r="Q17" s="18" t="str">
        <f t="shared" si="36"/>
        <v>-</v>
      </c>
      <c r="R17" s="10"/>
      <c r="S17" s="20"/>
      <c r="T17" s="16"/>
      <c r="U17" s="13">
        <v>0</v>
      </c>
      <c r="V17" s="17" t="str">
        <f t="shared" si="37"/>
        <v>-</v>
      </c>
      <c r="W17" s="17" t="str">
        <f t="shared" si="38"/>
        <v>-</v>
      </c>
      <c r="X17" s="16"/>
      <c r="Y17" s="18" t="str">
        <f t="shared" si="39"/>
        <v>-</v>
      </c>
      <c r="Z17" s="10"/>
      <c r="AA17" s="19"/>
      <c r="AB17" s="13">
        <f t="shared" si="40"/>
        <v>0</v>
      </c>
      <c r="AC17" s="17" t="str">
        <f t="shared" si="41"/>
        <v>-</v>
      </c>
      <c r="AD17" s="10"/>
      <c r="AE17" s="19"/>
      <c r="AF17" s="13">
        <f t="shared" si="42"/>
        <v>0</v>
      </c>
      <c r="AG17" s="17" t="str">
        <f t="shared" si="43"/>
        <v>-</v>
      </c>
      <c r="AH17" s="10"/>
      <c r="AI17" s="19"/>
      <c r="AJ17" s="13">
        <f t="shared" si="44"/>
        <v>0</v>
      </c>
      <c r="AK17" s="17" t="str">
        <f t="shared" si="45"/>
        <v>-</v>
      </c>
      <c r="AL17" s="10"/>
      <c r="AM17" s="18" t="str">
        <f t="shared" si="46"/>
        <v>-</v>
      </c>
      <c r="AN17" s="15"/>
      <c r="AO17" s="17">
        <f t="shared" ref="AO17:AO25" si="48">AN17*AF17</f>
        <v>0</v>
      </c>
      <c r="AP17" s="10"/>
    </row>
    <row r="18" spans="1:42" ht="30.75" customHeight="1" x14ac:dyDescent="0.3">
      <c r="A18" s="10"/>
      <c r="B18" s="11"/>
      <c r="C18" s="12"/>
      <c r="D18" s="12"/>
      <c r="E18" s="10"/>
      <c r="F18" s="13" t="s">
        <v>71</v>
      </c>
      <c r="G18" s="14" t="s">
        <v>33</v>
      </c>
      <c r="H18" s="15"/>
      <c r="I18" s="16">
        <f t="shared" ref="I18:I22" si="49">IFERROR(S18*AA18,"-")</f>
        <v>0</v>
      </c>
      <c r="J18" s="10"/>
      <c r="K18" s="17">
        <f t="shared" ref="K18:K22" si="50">IFERROR((H18*I18),"-")</f>
        <v>0</v>
      </c>
      <c r="L18" s="18"/>
      <c r="M18" s="17">
        <f t="shared" ref="M18:M22" si="51">IFERROR(K18*(1-L18),"-")</f>
        <v>0</v>
      </c>
      <c r="N18" s="19"/>
      <c r="O18" s="17">
        <f t="shared" ref="O18:O22" si="52">IFERROR(M18*(1+N18),"-")</f>
        <v>0</v>
      </c>
      <c r="P18" s="17">
        <f t="shared" si="35"/>
        <v>0</v>
      </c>
      <c r="Q18" s="18" t="str">
        <f t="shared" ref="Q18:Q22" si="53">IFERROR(P18/$P$13,"-")</f>
        <v>-</v>
      </c>
      <c r="R18" s="10"/>
      <c r="S18" s="20"/>
      <c r="T18" s="16"/>
      <c r="U18" s="13">
        <v>0</v>
      </c>
      <c r="V18" s="17" t="str">
        <f t="shared" ref="V18:V22" si="54">IFERROR(P18/S18*1000,"-")</f>
        <v>-</v>
      </c>
      <c r="W18" s="17" t="str">
        <f t="shared" ref="W18:W22" si="55">IFERROR(P18/U18*1000,"-")</f>
        <v>-</v>
      </c>
      <c r="X18" s="16"/>
      <c r="Y18" s="18" t="str">
        <f t="shared" ref="Y18:Y22" si="56">IFERROR(U18/X18,"-")</f>
        <v>-</v>
      </c>
      <c r="Z18" s="10"/>
      <c r="AA18" s="19"/>
      <c r="AB18" s="13">
        <f t="shared" ref="AB18:AB22" si="57">IFERROR(ROUNDDOWN(S18*AA18,0),"-")</f>
        <v>0</v>
      </c>
      <c r="AC18" s="17" t="str">
        <f t="shared" ref="AC18:AC22" si="58">IFERROR(P18/AB18,"-")</f>
        <v>-</v>
      </c>
      <c r="AD18" s="10"/>
      <c r="AE18" s="19"/>
      <c r="AF18" s="13">
        <f t="shared" ref="AF18:AF22" si="59">IF(G18="CPI",AJ18*AE18,IFERROR(ROUNDDOWN(AB18*AE18,0),"-"))</f>
        <v>0</v>
      </c>
      <c r="AG18" s="17" t="str">
        <f t="shared" ref="AG18:AG22" si="60">IFERROR(P18/AF18,"-")</f>
        <v>-</v>
      </c>
      <c r="AH18" s="10"/>
      <c r="AI18" s="19"/>
      <c r="AJ18" s="13">
        <f t="shared" ref="AJ18:AJ22" si="61">IF(G18="CPI",I18,0)</f>
        <v>0</v>
      </c>
      <c r="AK18" s="17" t="str">
        <f t="shared" ref="AK18:AK22" si="62">IFERROR(P18/AJ18,"-")</f>
        <v>-</v>
      </c>
      <c r="AL18" s="10"/>
      <c r="AM18" s="18" t="str">
        <f t="shared" ref="AM18:AM22" si="63">IFERROR(P18/AO18,"-")</f>
        <v>-</v>
      </c>
      <c r="AN18" s="15"/>
      <c r="AO18" s="17">
        <f t="shared" si="48"/>
        <v>0</v>
      </c>
      <c r="AP18" s="10"/>
    </row>
    <row r="19" spans="1:42" ht="30.75" customHeight="1" x14ac:dyDescent="0.3">
      <c r="A19" s="10"/>
      <c r="B19" s="11"/>
      <c r="C19" s="12"/>
      <c r="D19" s="12"/>
      <c r="E19" s="10"/>
      <c r="F19" s="13" t="s">
        <v>71</v>
      </c>
      <c r="G19" s="14" t="s">
        <v>33</v>
      </c>
      <c r="H19" s="15"/>
      <c r="I19" s="16">
        <f t="shared" si="49"/>
        <v>0</v>
      </c>
      <c r="J19" s="10"/>
      <c r="K19" s="17">
        <f t="shared" si="50"/>
        <v>0</v>
      </c>
      <c r="L19" s="18"/>
      <c r="M19" s="17">
        <f t="shared" si="51"/>
        <v>0</v>
      </c>
      <c r="N19" s="19"/>
      <c r="O19" s="17">
        <f t="shared" si="52"/>
        <v>0</v>
      </c>
      <c r="P19" s="17">
        <f t="shared" si="35"/>
        <v>0</v>
      </c>
      <c r="Q19" s="18" t="str">
        <f t="shared" si="53"/>
        <v>-</v>
      </c>
      <c r="R19" s="10"/>
      <c r="S19" s="20"/>
      <c r="T19" s="16"/>
      <c r="U19" s="13">
        <v>0</v>
      </c>
      <c r="V19" s="17" t="str">
        <f t="shared" si="54"/>
        <v>-</v>
      </c>
      <c r="W19" s="17" t="str">
        <f t="shared" si="55"/>
        <v>-</v>
      </c>
      <c r="X19" s="16"/>
      <c r="Y19" s="18" t="str">
        <f t="shared" si="56"/>
        <v>-</v>
      </c>
      <c r="Z19" s="10"/>
      <c r="AA19" s="19"/>
      <c r="AB19" s="13">
        <f t="shared" si="57"/>
        <v>0</v>
      </c>
      <c r="AC19" s="17" t="str">
        <f t="shared" si="58"/>
        <v>-</v>
      </c>
      <c r="AD19" s="10"/>
      <c r="AE19" s="19"/>
      <c r="AF19" s="13">
        <f t="shared" si="59"/>
        <v>0</v>
      </c>
      <c r="AG19" s="17" t="str">
        <f t="shared" si="60"/>
        <v>-</v>
      </c>
      <c r="AH19" s="10"/>
      <c r="AI19" s="19"/>
      <c r="AJ19" s="13">
        <f t="shared" si="61"/>
        <v>0</v>
      </c>
      <c r="AK19" s="17" t="str">
        <f t="shared" si="62"/>
        <v>-</v>
      </c>
      <c r="AL19" s="10"/>
      <c r="AM19" s="18" t="str">
        <f t="shared" si="63"/>
        <v>-</v>
      </c>
      <c r="AN19" s="15"/>
      <c r="AO19" s="17">
        <f t="shared" si="48"/>
        <v>0</v>
      </c>
      <c r="AP19" s="10"/>
    </row>
    <row r="20" spans="1:42" ht="30.75" customHeight="1" x14ac:dyDescent="0.3">
      <c r="A20" s="10"/>
      <c r="B20" s="11"/>
      <c r="C20" s="12"/>
      <c r="D20" s="12"/>
      <c r="E20" s="10"/>
      <c r="F20" s="13" t="s">
        <v>71</v>
      </c>
      <c r="G20" s="14" t="s">
        <v>33</v>
      </c>
      <c r="H20" s="15"/>
      <c r="I20" s="16">
        <f t="shared" si="49"/>
        <v>0</v>
      </c>
      <c r="J20" s="10"/>
      <c r="K20" s="17">
        <f t="shared" si="50"/>
        <v>0</v>
      </c>
      <c r="L20" s="18"/>
      <c r="M20" s="17">
        <f t="shared" si="51"/>
        <v>0</v>
      </c>
      <c r="N20" s="19"/>
      <c r="O20" s="17">
        <f t="shared" si="52"/>
        <v>0</v>
      </c>
      <c r="P20" s="17">
        <f t="shared" si="35"/>
        <v>0</v>
      </c>
      <c r="Q20" s="18" t="str">
        <f t="shared" si="53"/>
        <v>-</v>
      </c>
      <c r="R20" s="10"/>
      <c r="S20" s="20"/>
      <c r="T20" s="16"/>
      <c r="U20" s="13">
        <v>0</v>
      </c>
      <c r="V20" s="17" t="str">
        <f t="shared" si="54"/>
        <v>-</v>
      </c>
      <c r="W20" s="17" t="str">
        <f t="shared" si="55"/>
        <v>-</v>
      </c>
      <c r="X20" s="16"/>
      <c r="Y20" s="18" t="str">
        <f t="shared" si="56"/>
        <v>-</v>
      </c>
      <c r="Z20" s="10"/>
      <c r="AA20" s="19"/>
      <c r="AB20" s="13">
        <f t="shared" si="57"/>
        <v>0</v>
      </c>
      <c r="AC20" s="17" t="str">
        <f t="shared" si="58"/>
        <v>-</v>
      </c>
      <c r="AD20" s="10"/>
      <c r="AE20" s="19"/>
      <c r="AF20" s="13">
        <f t="shared" si="59"/>
        <v>0</v>
      </c>
      <c r="AG20" s="17" t="str">
        <f t="shared" si="60"/>
        <v>-</v>
      </c>
      <c r="AH20" s="10"/>
      <c r="AI20" s="19"/>
      <c r="AJ20" s="13">
        <f t="shared" si="61"/>
        <v>0</v>
      </c>
      <c r="AK20" s="17" t="str">
        <f t="shared" si="62"/>
        <v>-</v>
      </c>
      <c r="AL20" s="10"/>
      <c r="AM20" s="18" t="str">
        <f t="shared" si="63"/>
        <v>-</v>
      </c>
      <c r="AN20" s="15"/>
      <c r="AO20" s="17">
        <f t="shared" si="48"/>
        <v>0</v>
      </c>
      <c r="AP20" s="10"/>
    </row>
    <row r="21" spans="1:42" ht="30.75" customHeight="1" x14ac:dyDescent="0.3">
      <c r="A21" s="10"/>
      <c r="B21" s="11"/>
      <c r="C21" s="12"/>
      <c r="D21" s="12"/>
      <c r="E21" s="10"/>
      <c r="F21" s="13" t="s">
        <v>71</v>
      </c>
      <c r="G21" s="14" t="s">
        <v>33</v>
      </c>
      <c r="H21" s="15"/>
      <c r="I21" s="16">
        <f t="shared" si="49"/>
        <v>0</v>
      </c>
      <c r="J21" s="10"/>
      <c r="K21" s="17">
        <f t="shared" si="50"/>
        <v>0</v>
      </c>
      <c r="L21" s="18"/>
      <c r="M21" s="17">
        <f t="shared" si="51"/>
        <v>0</v>
      </c>
      <c r="N21" s="19"/>
      <c r="O21" s="17">
        <f t="shared" si="52"/>
        <v>0</v>
      </c>
      <c r="P21" s="17">
        <f t="shared" si="35"/>
        <v>0</v>
      </c>
      <c r="Q21" s="18" t="str">
        <f t="shared" si="53"/>
        <v>-</v>
      </c>
      <c r="R21" s="10"/>
      <c r="S21" s="20"/>
      <c r="T21" s="16"/>
      <c r="U21" s="13">
        <v>0</v>
      </c>
      <c r="V21" s="17" t="str">
        <f t="shared" si="54"/>
        <v>-</v>
      </c>
      <c r="W21" s="17" t="str">
        <f t="shared" si="55"/>
        <v>-</v>
      </c>
      <c r="X21" s="16"/>
      <c r="Y21" s="18" t="str">
        <f t="shared" si="56"/>
        <v>-</v>
      </c>
      <c r="Z21" s="10"/>
      <c r="AA21" s="19"/>
      <c r="AB21" s="13">
        <f t="shared" si="57"/>
        <v>0</v>
      </c>
      <c r="AC21" s="17" t="str">
        <f t="shared" si="58"/>
        <v>-</v>
      </c>
      <c r="AD21" s="10"/>
      <c r="AE21" s="19"/>
      <c r="AF21" s="13">
        <f t="shared" si="59"/>
        <v>0</v>
      </c>
      <c r="AG21" s="17" t="str">
        <f t="shared" si="60"/>
        <v>-</v>
      </c>
      <c r="AH21" s="10"/>
      <c r="AI21" s="19"/>
      <c r="AJ21" s="13">
        <f t="shared" si="61"/>
        <v>0</v>
      </c>
      <c r="AK21" s="17" t="str">
        <f t="shared" si="62"/>
        <v>-</v>
      </c>
      <c r="AL21" s="10"/>
      <c r="AM21" s="18" t="str">
        <f t="shared" si="63"/>
        <v>-</v>
      </c>
      <c r="AN21" s="15"/>
      <c r="AO21" s="17">
        <f t="shared" si="48"/>
        <v>0</v>
      </c>
      <c r="AP21" s="10"/>
    </row>
    <row r="22" spans="1:42" ht="30.75" customHeight="1" x14ac:dyDescent="0.3">
      <c r="A22" s="10"/>
      <c r="B22" s="11"/>
      <c r="C22" s="12"/>
      <c r="D22" s="12"/>
      <c r="E22" s="10"/>
      <c r="F22" s="13" t="s">
        <v>71</v>
      </c>
      <c r="G22" s="14" t="s">
        <v>33</v>
      </c>
      <c r="H22" s="15"/>
      <c r="I22" s="16">
        <f t="shared" si="49"/>
        <v>0</v>
      </c>
      <c r="J22" s="10"/>
      <c r="K22" s="17">
        <f t="shared" si="50"/>
        <v>0</v>
      </c>
      <c r="L22" s="18"/>
      <c r="M22" s="17">
        <f t="shared" si="51"/>
        <v>0</v>
      </c>
      <c r="N22" s="19"/>
      <c r="O22" s="17">
        <f t="shared" si="52"/>
        <v>0</v>
      </c>
      <c r="P22" s="17">
        <f t="shared" si="35"/>
        <v>0</v>
      </c>
      <c r="Q22" s="18" t="str">
        <f t="shared" si="53"/>
        <v>-</v>
      </c>
      <c r="R22" s="10"/>
      <c r="S22" s="20"/>
      <c r="T22" s="16"/>
      <c r="U22" s="13">
        <v>0</v>
      </c>
      <c r="V22" s="17" t="str">
        <f t="shared" si="54"/>
        <v>-</v>
      </c>
      <c r="W22" s="17" t="str">
        <f t="shared" si="55"/>
        <v>-</v>
      </c>
      <c r="X22" s="16"/>
      <c r="Y22" s="18" t="str">
        <f t="shared" si="56"/>
        <v>-</v>
      </c>
      <c r="Z22" s="10"/>
      <c r="AA22" s="19"/>
      <c r="AB22" s="13">
        <f t="shared" si="57"/>
        <v>0</v>
      </c>
      <c r="AC22" s="17" t="str">
        <f t="shared" si="58"/>
        <v>-</v>
      </c>
      <c r="AD22" s="10"/>
      <c r="AE22" s="19"/>
      <c r="AF22" s="13">
        <f t="shared" si="59"/>
        <v>0</v>
      </c>
      <c r="AG22" s="17" t="str">
        <f t="shared" si="60"/>
        <v>-</v>
      </c>
      <c r="AH22" s="10"/>
      <c r="AI22" s="19"/>
      <c r="AJ22" s="13">
        <f t="shared" si="61"/>
        <v>0</v>
      </c>
      <c r="AK22" s="17" t="str">
        <f t="shared" si="62"/>
        <v>-</v>
      </c>
      <c r="AL22" s="10"/>
      <c r="AM22" s="18" t="str">
        <f t="shared" si="63"/>
        <v>-</v>
      </c>
      <c r="AN22" s="15"/>
      <c r="AO22" s="17">
        <f t="shared" si="48"/>
        <v>0</v>
      </c>
      <c r="AP22" s="10"/>
    </row>
    <row r="23" spans="1:42" ht="30.75" customHeight="1" x14ac:dyDescent="0.3">
      <c r="A23" s="10"/>
      <c r="B23" s="11"/>
      <c r="C23" s="12"/>
      <c r="D23" s="12"/>
      <c r="E23" s="10"/>
      <c r="F23" s="13" t="s">
        <v>71</v>
      </c>
      <c r="G23" s="14" t="s">
        <v>33</v>
      </c>
      <c r="H23" s="15"/>
      <c r="I23" s="16">
        <f t="shared" si="47"/>
        <v>0</v>
      </c>
      <c r="J23" s="10"/>
      <c r="K23" s="17">
        <f t="shared" si="32"/>
        <v>0</v>
      </c>
      <c r="L23" s="18"/>
      <c r="M23" s="17">
        <f t="shared" si="33"/>
        <v>0</v>
      </c>
      <c r="N23" s="19"/>
      <c r="O23" s="17">
        <f t="shared" si="34"/>
        <v>0</v>
      </c>
      <c r="P23" s="17">
        <f t="shared" si="35"/>
        <v>0</v>
      </c>
      <c r="Q23" s="18" t="str">
        <f t="shared" si="36"/>
        <v>-</v>
      </c>
      <c r="R23" s="10"/>
      <c r="S23" s="20"/>
      <c r="T23" s="16"/>
      <c r="U23" s="13" t="s">
        <v>35</v>
      </c>
      <c r="V23" s="17" t="str">
        <f t="shared" si="37"/>
        <v>-</v>
      </c>
      <c r="W23" s="17" t="str">
        <f t="shared" si="38"/>
        <v>-</v>
      </c>
      <c r="X23" s="16"/>
      <c r="Y23" s="18" t="str">
        <f t="shared" si="39"/>
        <v>-</v>
      </c>
      <c r="Z23" s="10"/>
      <c r="AA23" s="19"/>
      <c r="AB23" s="13">
        <f t="shared" si="40"/>
        <v>0</v>
      </c>
      <c r="AC23" s="17" t="str">
        <f t="shared" si="41"/>
        <v>-</v>
      </c>
      <c r="AD23" s="10"/>
      <c r="AE23" s="19"/>
      <c r="AF23" s="13">
        <f t="shared" si="42"/>
        <v>0</v>
      </c>
      <c r="AG23" s="17" t="str">
        <f t="shared" si="43"/>
        <v>-</v>
      </c>
      <c r="AH23" s="10"/>
      <c r="AI23" s="19"/>
      <c r="AJ23" s="13">
        <f t="shared" si="44"/>
        <v>0</v>
      </c>
      <c r="AK23" s="17" t="str">
        <f t="shared" si="45"/>
        <v>-</v>
      </c>
      <c r="AL23" s="10"/>
      <c r="AM23" s="18" t="str">
        <f t="shared" si="46"/>
        <v>-</v>
      </c>
      <c r="AN23" s="15"/>
      <c r="AO23" s="17">
        <f t="shared" si="48"/>
        <v>0</v>
      </c>
      <c r="AP23" s="10"/>
    </row>
    <row r="24" spans="1:42" ht="30.75" customHeight="1" x14ac:dyDescent="0.3">
      <c r="A24" s="10"/>
      <c r="B24" s="11"/>
      <c r="C24" s="12"/>
      <c r="D24" s="12"/>
      <c r="E24" s="10"/>
      <c r="F24" s="13" t="s">
        <v>71</v>
      </c>
      <c r="G24" s="14" t="s">
        <v>33</v>
      </c>
      <c r="H24" s="15"/>
      <c r="I24" s="16">
        <f t="shared" si="47"/>
        <v>0</v>
      </c>
      <c r="J24" s="10"/>
      <c r="K24" s="17">
        <f t="shared" si="32"/>
        <v>0</v>
      </c>
      <c r="L24" s="18"/>
      <c r="M24" s="17">
        <f t="shared" si="33"/>
        <v>0</v>
      </c>
      <c r="N24" s="19"/>
      <c r="O24" s="17">
        <f t="shared" si="34"/>
        <v>0</v>
      </c>
      <c r="P24" s="17">
        <f t="shared" si="35"/>
        <v>0</v>
      </c>
      <c r="Q24" s="18" t="str">
        <f t="shared" si="36"/>
        <v>-</v>
      </c>
      <c r="R24" s="10"/>
      <c r="S24" s="20"/>
      <c r="T24" s="16"/>
      <c r="U24" s="13" t="s">
        <v>35</v>
      </c>
      <c r="V24" s="17" t="str">
        <f t="shared" si="37"/>
        <v>-</v>
      </c>
      <c r="W24" s="17" t="str">
        <f t="shared" si="38"/>
        <v>-</v>
      </c>
      <c r="X24" s="16"/>
      <c r="Y24" s="18" t="str">
        <f t="shared" si="39"/>
        <v>-</v>
      </c>
      <c r="Z24" s="10"/>
      <c r="AA24" s="19"/>
      <c r="AB24" s="13">
        <f t="shared" si="40"/>
        <v>0</v>
      </c>
      <c r="AC24" s="17" t="str">
        <f t="shared" si="41"/>
        <v>-</v>
      </c>
      <c r="AD24" s="10"/>
      <c r="AE24" s="19"/>
      <c r="AF24" s="13">
        <f t="shared" si="42"/>
        <v>0</v>
      </c>
      <c r="AG24" s="17" t="str">
        <f t="shared" si="43"/>
        <v>-</v>
      </c>
      <c r="AH24" s="10"/>
      <c r="AI24" s="19"/>
      <c r="AJ24" s="13">
        <f t="shared" si="44"/>
        <v>0</v>
      </c>
      <c r="AK24" s="17" t="str">
        <f t="shared" si="45"/>
        <v>-</v>
      </c>
      <c r="AL24" s="10"/>
      <c r="AM24" s="18" t="str">
        <f t="shared" si="46"/>
        <v>-</v>
      </c>
      <c r="AN24" s="15"/>
      <c r="AO24" s="17">
        <f t="shared" si="48"/>
        <v>0</v>
      </c>
      <c r="AP24" s="10"/>
    </row>
    <row r="25" spans="1:42" ht="30.75" customHeight="1" x14ac:dyDescent="0.3">
      <c r="A25" s="10"/>
      <c r="B25" s="11"/>
      <c r="C25" s="12"/>
      <c r="D25" s="12"/>
      <c r="E25" s="10"/>
      <c r="F25" s="13" t="s">
        <v>71</v>
      </c>
      <c r="G25" s="14" t="s">
        <v>33</v>
      </c>
      <c r="H25" s="15"/>
      <c r="I25" s="16">
        <f t="shared" si="47"/>
        <v>0</v>
      </c>
      <c r="J25" s="10"/>
      <c r="K25" s="17">
        <f t="shared" si="32"/>
        <v>0</v>
      </c>
      <c r="L25" s="18"/>
      <c r="M25" s="17">
        <f t="shared" si="33"/>
        <v>0</v>
      </c>
      <c r="N25" s="19"/>
      <c r="O25" s="17">
        <f t="shared" si="34"/>
        <v>0</v>
      </c>
      <c r="P25" s="17">
        <f t="shared" si="35"/>
        <v>0</v>
      </c>
      <c r="Q25" s="18" t="str">
        <f t="shared" si="36"/>
        <v>-</v>
      </c>
      <c r="R25" s="10"/>
      <c r="S25" s="20"/>
      <c r="T25" s="16"/>
      <c r="U25" s="13" t="s">
        <v>35</v>
      </c>
      <c r="V25" s="17" t="str">
        <f t="shared" si="37"/>
        <v>-</v>
      </c>
      <c r="W25" s="17" t="str">
        <f t="shared" si="38"/>
        <v>-</v>
      </c>
      <c r="X25" s="16"/>
      <c r="Y25" s="18" t="str">
        <f t="shared" si="39"/>
        <v>-</v>
      </c>
      <c r="Z25" s="10"/>
      <c r="AA25" s="19"/>
      <c r="AB25" s="13">
        <f t="shared" si="40"/>
        <v>0</v>
      </c>
      <c r="AC25" s="17" t="str">
        <f t="shared" si="41"/>
        <v>-</v>
      </c>
      <c r="AD25" s="10"/>
      <c r="AE25" s="19"/>
      <c r="AF25" s="13">
        <f t="shared" si="42"/>
        <v>0</v>
      </c>
      <c r="AG25" s="17" t="str">
        <f t="shared" si="43"/>
        <v>-</v>
      </c>
      <c r="AH25" s="10"/>
      <c r="AI25" s="19"/>
      <c r="AJ25" s="13">
        <f t="shared" si="44"/>
        <v>0</v>
      </c>
      <c r="AK25" s="17" t="str">
        <f t="shared" si="45"/>
        <v>-</v>
      </c>
      <c r="AL25" s="10"/>
      <c r="AM25" s="18" t="str">
        <f t="shared" si="46"/>
        <v>-</v>
      </c>
      <c r="AN25" s="15"/>
      <c r="AO25" s="17">
        <f t="shared" si="48"/>
        <v>0</v>
      </c>
      <c r="AP25" s="10"/>
    </row>
    <row r="26" spans="1:42" ht="17.25" customHeight="1" x14ac:dyDescent="0.3">
      <c r="A26" s="22"/>
      <c r="B26" s="6" t="s">
        <v>34</v>
      </c>
      <c r="C26" s="9" t="s">
        <v>35</v>
      </c>
      <c r="D26" s="9" t="s">
        <v>35</v>
      </c>
      <c r="E26" s="22"/>
      <c r="F26" s="9" t="s">
        <v>35</v>
      </c>
      <c r="G26" s="6" t="s">
        <v>35</v>
      </c>
      <c r="H26" s="5" t="str">
        <f>IFERROR(K26/I26,"-")</f>
        <v>-</v>
      </c>
      <c r="I26" s="25">
        <f>IFERROR(SUM(I16:I25),"-")</f>
        <v>0</v>
      </c>
      <c r="J26" s="22"/>
      <c r="K26" s="23">
        <f>IFERROR(SUM(K16:K25),"-")</f>
        <v>0</v>
      </c>
      <c r="L26" s="6" t="s">
        <v>35</v>
      </c>
      <c r="M26" s="23">
        <f>IFERROR(SUM(M16:M25),"-")</f>
        <v>0</v>
      </c>
      <c r="N26" s="9" t="s">
        <v>35</v>
      </c>
      <c r="O26" s="23">
        <f>IFERROR(SUM(O16:O25),"-")</f>
        <v>0</v>
      </c>
      <c r="P26" s="23">
        <f t="shared" si="35"/>
        <v>0</v>
      </c>
      <c r="Q26" s="24">
        <v>0</v>
      </c>
      <c r="R26" s="22"/>
      <c r="S26" s="25">
        <f>IFERROR(SUM(S16:S25),"-")</f>
        <v>0</v>
      </c>
      <c r="T26" s="25" t="s">
        <v>35</v>
      </c>
      <c r="U26" s="25" t="s">
        <v>35</v>
      </c>
      <c r="V26" s="23" t="str">
        <f t="shared" si="37"/>
        <v>-</v>
      </c>
      <c r="W26" s="23" t="str">
        <f t="shared" si="38"/>
        <v>-</v>
      </c>
      <c r="X26" s="6" t="s">
        <v>35</v>
      </c>
      <c r="Y26" s="6" t="s">
        <v>35</v>
      </c>
      <c r="Z26" s="22"/>
      <c r="AA26" s="24" t="str">
        <f>IFERROR(AB26/S26,"-")</f>
        <v>-</v>
      </c>
      <c r="AB26" s="25">
        <f>IFERROR(SUM(AB16:AB25),"-")</f>
        <v>0</v>
      </c>
      <c r="AC26" s="23" t="str">
        <f t="shared" si="41"/>
        <v>-</v>
      </c>
      <c r="AD26" s="22"/>
      <c r="AE26" s="24" t="str">
        <f>IFERROR(AF26/AB26,"-")</f>
        <v>-</v>
      </c>
      <c r="AF26" s="25">
        <f>IFERROR(SUM(AF16:AF25),"-")</f>
        <v>0</v>
      </c>
      <c r="AG26" s="23" t="str">
        <f t="shared" si="43"/>
        <v>-</v>
      </c>
      <c r="AH26" s="22"/>
      <c r="AI26" s="24" t="str">
        <f>IFERROR(AJ26/AB26,"-")</f>
        <v>-</v>
      </c>
      <c r="AJ26" s="25">
        <v>0</v>
      </c>
      <c r="AK26" s="23" t="str">
        <f>IFERROR(L26/AJ26,"-")</f>
        <v>-</v>
      </c>
      <c r="AL26" s="22"/>
      <c r="AM26" s="24" t="str">
        <f t="shared" si="46"/>
        <v>-</v>
      </c>
      <c r="AN26" s="23" t="str">
        <f>IFERROR(AO26/AF26,"-")</f>
        <v>-</v>
      </c>
      <c r="AO26" s="23">
        <f>IFERROR(SUM(AO16:AO25),"-")</f>
        <v>0</v>
      </c>
      <c r="AP26" s="22"/>
    </row>
    <row r="27" spans="1:42" ht="15.75" customHeight="1" x14ac:dyDescent="0.3">
      <c r="A27" s="26"/>
      <c r="B27" s="27"/>
      <c r="C27" s="27"/>
      <c r="D27" s="27"/>
      <c r="E27" s="26"/>
      <c r="F27" s="27"/>
      <c r="G27" s="27"/>
      <c r="H27" s="27"/>
      <c r="I27" s="27"/>
      <c r="J27" s="26"/>
      <c r="K27" s="27"/>
      <c r="L27" s="27"/>
      <c r="M27" s="27"/>
      <c r="N27" s="27"/>
      <c r="O27" s="27"/>
      <c r="P27" s="27"/>
      <c r="Q27" s="27"/>
      <c r="R27" s="26"/>
      <c r="S27" s="27"/>
      <c r="T27" s="27"/>
      <c r="U27" s="27"/>
      <c r="V27" s="27"/>
      <c r="W27" s="27"/>
      <c r="X27" s="27"/>
      <c r="Y27" s="27"/>
      <c r="Z27" s="26"/>
      <c r="AA27" s="27"/>
      <c r="AB27" s="27"/>
      <c r="AC27" s="27"/>
      <c r="AD27" s="26"/>
      <c r="AE27" s="27"/>
      <c r="AF27" s="27"/>
      <c r="AG27" s="27"/>
      <c r="AH27" s="26"/>
      <c r="AI27" s="27"/>
      <c r="AJ27" s="27"/>
      <c r="AK27" s="27"/>
      <c r="AL27" s="26"/>
      <c r="AM27" s="27"/>
      <c r="AN27" s="27"/>
      <c r="AO27" s="27"/>
      <c r="AP27" s="26"/>
    </row>
    <row r="28" spans="1:42" ht="51.75" customHeight="1" x14ac:dyDescent="0.3">
      <c r="A28" s="1"/>
      <c r="B28" s="2" t="s">
        <v>0</v>
      </c>
      <c r="C28" s="2" t="s">
        <v>1</v>
      </c>
      <c r="D28" s="2" t="s">
        <v>2</v>
      </c>
      <c r="E28" s="1"/>
      <c r="F28" s="3" t="s">
        <v>3</v>
      </c>
      <c r="G28" s="2" t="s">
        <v>66</v>
      </c>
      <c r="H28" s="2" t="s">
        <v>67</v>
      </c>
      <c r="I28" s="2" t="s">
        <v>68</v>
      </c>
      <c r="J28" s="1"/>
      <c r="K28" s="4" t="s">
        <v>7</v>
      </c>
      <c r="L28" s="3" t="s">
        <v>8</v>
      </c>
      <c r="M28" s="4" t="s">
        <v>9</v>
      </c>
      <c r="N28" s="3" t="s">
        <v>10</v>
      </c>
      <c r="O28" s="5" t="s">
        <v>11</v>
      </c>
      <c r="P28" s="5" t="s">
        <v>12</v>
      </c>
      <c r="Q28" s="4" t="s">
        <v>13</v>
      </c>
      <c r="R28" s="1"/>
      <c r="S28" s="2" t="s">
        <v>14</v>
      </c>
      <c r="T28" s="2" t="s">
        <v>15</v>
      </c>
      <c r="U28" s="2" t="s">
        <v>16</v>
      </c>
      <c r="V28" s="2" t="s">
        <v>17</v>
      </c>
      <c r="W28" s="2" t="s">
        <v>18</v>
      </c>
      <c r="X28" s="2" t="s">
        <v>19</v>
      </c>
      <c r="Y28" s="2" t="s">
        <v>20</v>
      </c>
      <c r="Z28" s="1"/>
      <c r="AA28" s="6" t="s">
        <v>21</v>
      </c>
      <c r="AB28" s="7" t="s">
        <v>22</v>
      </c>
      <c r="AC28" s="7" t="s">
        <v>23</v>
      </c>
      <c r="AD28" s="1"/>
      <c r="AE28" s="6" t="s">
        <v>24</v>
      </c>
      <c r="AF28" s="8" t="s">
        <v>25</v>
      </c>
      <c r="AG28" s="8" t="s">
        <v>26</v>
      </c>
      <c r="AH28" s="1"/>
      <c r="AI28" s="9" t="s">
        <v>27</v>
      </c>
      <c r="AJ28" s="8" t="s">
        <v>28</v>
      </c>
      <c r="AK28" s="8" t="s">
        <v>56</v>
      </c>
      <c r="AL28" s="1"/>
      <c r="AM28" s="9" t="s">
        <v>30</v>
      </c>
      <c r="AN28" s="8" t="s">
        <v>31</v>
      </c>
      <c r="AO28" s="8" t="s">
        <v>32</v>
      </c>
      <c r="AP28" s="1"/>
    </row>
    <row r="29" spans="1:42" ht="30.75" customHeight="1" x14ac:dyDescent="0.3">
      <c r="A29" s="10"/>
      <c r="B29" s="11"/>
      <c r="C29" s="12"/>
      <c r="D29" s="12"/>
      <c r="E29" s="10"/>
      <c r="F29" s="13" t="s">
        <v>72</v>
      </c>
      <c r="G29" s="14" t="s">
        <v>33</v>
      </c>
      <c r="H29" s="15"/>
      <c r="I29" s="16">
        <f>IFERROR(S29*AA29,"-")</f>
        <v>0</v>
      </c>
      <c r="J29" s="10"/>
      <c r="K29" s="17">
        <f t="shared" ref="K29:K38" si="64">IFERROR((H29*I29),"-")</f>
        <v>0</v>
      </c>
      <c r="L29" s="18"/>
      <c r="M29" s="17">
        <f t="shared" ref="M29:M38" si="65">IFERROR(K29*(1-L29),"-")</f>
        <v>0</v>
      </c>
      <c r="N29" s="19"/>
      <c r="O29" s="17">
        <f t="shared" ref="O29:O38" si="66">IFERROR(M29*(1+N29),"-")</f>
        <v>0</v>
      </c>
      <c r="P29" s="17">
        <f t="shared" ref="P29:P39" si="67">IFERROR(O29*1.22,"-")</f>
        <v>0</v>
      </c>
      <c r="Q29" s="18" t="str">
        <f t="shared" ref="Q29:Q38" si="68">IFERROR(P29/$P$13,"-")</f>
        <v>-</v>
      </c>
      <c r="R29" s="10"/>
      <c r="S29" s="20"/>
      <c r="T29" s="16"/>
      <c r="U29" s="13" t="s">
        <v>35</v>
      </c>
      <c r="V29" s="17" t="str">
        <f t="shared" ref="V29:V39" si="69">IFERROR(P29/S29*1000,"-")</f>
        <v>-</v>
      </c>
      <c r="W29" s="17" t="str">
        <f t="shared" ref="W29:W39" si="70">IFERROR(P29/U29*1000,"-")</f>
        <v>-</v>
      </c>
      <c r="X29" s="16"/>
      <c r="Y29" s="18" t="str">
        <f t="shared" ref="Y29:Y38" si="71">IFERROR(U29/X29,"-")</f>
        <v>-</v>
      </c>
      <c r="Z29" s="10"/>
      <c r="AA29" s="19"/>
      <c r="AB29" s="13">
        <f t="shared" ref="AB29:AB38" si="72">IFERROR(ROUNDDOWN(S29*AA29,0),"-")</f>
        <v>0</v>
      </c>
      <c r="AC29" s="17" t="str">
        <f t="shared" ref="AC29:AC39" si="73">IFERROR(P29/AB29,"-")</f>
        <v>-</v>
      </c>
      <c r="AD29" s="10"/>
      <c r="AE29" s="19"/>
      <c r="AF29" s="13">
        <f t="shared" ref="AF29:AF38" si="74">IF(G29="CPI",AJ29*AE29,IFERROR(ROUNDDOWN(AB29*AE29,0),"-"))</f>
        <v>0</v>
      </c>
      <c r="AG29" s="17" t="str">
        <f t="shared" ref="AG29:AG39" si="75">IFERROR(P29/AF29,"-")</f>
        <v>-</v>
      </c>
      <c r="AH29" s="10"/>
      <c r="AI29" s="19"/>
      <c r="AJ29" s="13">
        <f t="shared" ref="AJ29:AJ38" si="76">IF(G29="CPI",I29,0)</f>
        <v>0</v>
      </c>
      <c r="AK29" s="17" t="str">
        <f t="shared" ref="AK29:AK38" si="77">IFERROR(P29/AJ29,"-")</f>
        <v>-</v>
      </c>
      <c r="AL29" s="10"/>
      <c r="AM29" s="18" t="str">
        <f t="shared" ref="AM29:AM39" si="78">IFERROR(P29/AO29,"-")</f>
        <v>-</v>
      </c>
      <c r="AN29" s="15"/>
      <c r="AO29" s="17">
        <f>AN29*AF29</f>
        <v>0</v>
      </c>
      <c r="AP29" s="10"/>
    </row>
    <row r="30" spans="1:42" ht="30.75" customHeight="1" x14ac:dyDescent="0.3">
      <c r="A30" s="10"/>
      <c r="B30" s="11"/>
      <c r="C30" s="12"/>
      <c r="D30" s="12"/>
      <c r="E30" s="10"/>
      <c r="F30" s="13" t="s">
        <v>72</v>
      </c>
      <c r="G30" s="14" t="s">
        <v>33</v>
      </c>
      <c r="H30" s="15"/>
      <c r="I30" s="16">
        <f t="shared" ref="I30:I38" si="79">IFERROR(S30*AA30,"-")</f>
        <v>0</v>
      </c>
      <c r="J30" s="10"/>
      <c r="K30" s="17">
        <f t="shared" si="64"/>
        <v>0</v>
      </c>
      <c r="L30" s="18"/>
      <c r="M30" s="17">
        <f t="shared" si="65"/>
        <v>0</v>
      </c>
      <c r="N30" s="19"/>
      <c r="O30" s="17">
        <f t="shared" si="66"/>
        <v>0</v>
      </c>
      <c r="P30" s="17">
        <f t="shared" si="67"/>
        <v>0</v>
      </c>
      <c r="Q30" s="18" t="str">
        <f t="shared" si="68"/>
        <v>-</v>
      </c>
      <c r="R30" s="10"/>
      <c r="S30" s="20"/>
      <c r="T30" s="16"/>
      <c r="U30" s="13" t="s">
        <v>35</v>
      </c>
      <c r="V30" s="17" t="str">
        <f t="shared" si="69"/>
        <v>-</v>
      </c>
      <c r="W30" s="17" t="str">
        <f t="shared" si="70"/>
        <v>-</v>
      </c>
      <c r="X30" s="16"/>
      <c r="Y30" s="18" t="str">
        <f t="shared" si="71"/>
        <v>-</v>
      </c>
      <c r="Z30" s="10"/>
      <c r="AA30" s="19"/>
      <c r="AB30" s="13">
        <f t="shared" si="72"/>
        <v>0</v>
      </c>
      <c r="AC30" s="17" t="str">
        <f t="shared" si="73"/>
        <v>-</v>
      </c>
      <c r="AD30" s="10"/>
      <c r="AE30" s="19"/>
      <c r="AF30" s="13">
        <f t="shared" si="74"/>
        <v>0</v>
      </c>
      <c r="AG30" s="17" t="str">
        <f t="shared" si="75"/>
        <v>-</v>
      </c>
      <c r="AH30" s="10"/>
      <c r="AI30" s="19"/>
      <c r="AJ30" s="13">
        <f t="shared" si="76"/>
        <v>0</v>
      </c>
      <c r="AK30" s="17" t="str">
        <f t="shared" si="77"/>
        <v>-</v>
      </c>
      <c r="AL30" s="10"/>
      <c r="AM30" s="18" t="str">
        <f t="shared" si="78"/>
        <v>-</v>
      </c>
      <c r="AN30" s="15"/>
      <c r="AO30" s="17">
        <f t="shared" ref="AO30:AO38" si="80">AN30*AF30</f>
        <v>0</v>
      </c>
      <c r="AP30" s="10"/>
    </row>
    <row r="31" spans="1:42" ht="30.75" customHeight="1" x14ac:dyDescent="0.3">
      <c r="A31" s="10"/>
      <c r="B31" s="11"/>
      <c r="C31" s="12"/>
      <c r="D31" s="12"/>
      <c r="E31" s="10"/>
      <c r="F31" s="13" t="s">
        <v>72</v>
      </c>
      <c r="G31" s="14" t="s">
        <v>33</v>
      </c>
      <c r="H31" s="15"/>
      <c r="I31" s="16">
        <f t="shared" ref="I31:I35" si="81">IFERROR(S31*AA31,"-")</f>
        <v>0</v>
      </c>
      <c r="J31" s="10"/>
      <c r="K31" s="17">
        <f t="shared" ref="K31:K35" si="82">IFERROR((H31*I31),"-")</f>
        <v>0</v>
      </c>
      <c r="L31" s="18"/>
      <c r="M31" s="17">
        <f t="shared" ref="M31:M35" si="83">IFERROR(K31*(1-L31),"-")</f>
        <v>0</v>
      </c>
      <c r="N31" s="19"/>
      <c r="O31" s="17">
        <f t="shared" ref="O31:O35" si="84">IFERROR(M31*(1+N31),"-")</f>
        <v>0</v>
      </c>
      <c r="P31" s="17">
        <f t="shared" si="67"/>
        <v>0</v>
      </c>
      <c r="Q31" s="18" t="str">
        <f t="shared" ref="Q31:Q35" si="85">IFERROR(P31/$P$13,"-")</f>
        <v>-</v>
      </c>
      <c r="R31" s="10"/>
      <c r="S31" s="20"/>
      <c r="T31" s="16"/>
      <c r="U31" s="13" t="s">
        <v>35</v>
      </c>
      <c r="V31" s="17" t="str">
        <f t="shared" ref="V31:V35" si="86">IFERROR(P31/S31*1000,"-")</f>
        <v>-</v>
      </c>
      <c r="W31" s="17" t="str">
        <f t="shared" ref="W31:W35" si="87">IFERROR(P31/U31*1000,"-")</f>
        <v>-</v>
      </c>
      <c r="X31" s="16"/>
      <c r="Y31" s="18" t="str">
        <f t="shared" ref="Y31:Y35" si="88">IFERROR(U31/X31,"-")</f>
        <v>-</v>
      </c>
      <c r="Z31" s="10"/>
      <c r="AA31" s="19"/>
      <c r="AB31" s="13">
        <f t="shared" ref="AB31:AB35" si="89">IFERROR(ROUNDDOWN(S31*AA31,0),"-")</f>
        <v>0</v>
      </c>
      <c r="AC31" s="17" t="str">
        <f t="shared" ref="AC31:AC35" si="90">IFERROR(P31/AB31,"-")</f>
        <v>-</v>
      </c>
      <c r="AD31" s="10"/>
      <c r="AE31" s="19"/>
      <c r="AF31" s="13">
        <f t="shared" ref="AF31:AF35" si="91">IF(G31="CPI",AJ31*AE31,IFERROR(ROUNDDOWN(AB31*AE31,0),"-"))</f>
        <v>0</v>
      </c>
      <c r="AG31" s="17" t="str">
        <f t="shared" ref="AG31:AG35" si="92">IFERROR(P31/AF31,"-")</f>
        <v>-</v>
      </c>
      <c r="AH31" s="10"/>
      <c r="AI31" s="19"/>
      <c r="AJ31" s="13">
        <f t="shared" ref="AJ31:AJ35" si="93">IF(G31="CPI",I31,0)</f>
        <v>0</v>
      </c>
      <c r="AK31" s="17" t="str">
        <f t="shared" ref="AK31:AK35" si="94">IFERROR(P31/AJ31,"-")</f>
        <v>-</v>
      </c>
      <c r="AL31" s="10"/>
      <c r="AM31" s="18" t="str">
        <f t="shared" ref="AM31:AM35" si="95">IFERROR(P31/AO31,"-")</f>
        <v>-</v>
      </c>
      <c r="AN31" s="15"/>
      <c r="AO31" s="17">
        <f t="shared" si="80"/>
        <v>0</v>
      </c>
      <c r="AP31" s="10"/>
    </row>
    <row r="32" spans="1:42" ht="30.75" customHeight="1" x14ac:dyDescent="0.3">
      <c r="A32" s="10"/>
      <c r="B32" s="11"/>
      <c r="C32" s="12"/>
      <c r="D32" s="12"/>
      <c r="E32" s="10"/>
      <c r="F32" s="13" t="s">
        <v>72</v>
      </c>
      <c r="G32" s="14" t="s">
        <v>33</v>
      </c>
      <c r="H32" s="15"/>
      <c r="I32" s="16">
        <f t="shared" si="81"/>
        <v>0</v>
      </c>
      <c r="J32" s="10"/>
      <c r="K32" s="17">
        <f t="shared" si="82"/>
        <v>0</v>
      </c>
      <c r="L32" s="18"/>
      <c r="M32" s="17">
        <f t="shared" si="83"/>
        <v>0</v>
      </c>
      <c r="N32" s="19"/>
      <c r="O32" s="17">
        <f t="shared" si="84"/>
        <v>0</v>
      </c>
      <c r="P32" s="17">
        <f t="shared" si="67"/>
        <v>0</v>
      </c>
      <c r="Q32" s="18" t="str">
        <f t="shared" si="85"/>
        <v>-</v>
      </c>
      <c r="R32" s="10"/>
      <c r="S32" s="20"/>
      <c r="T32" s="16"/>
      <c r="U32" s="13" t="s">
        <v>35</v>
      </c>
      <c r="V32" s="17" t="str">
        <f t="shared" si="86"/>
        <v>-</v>
      </c>
      <c r="W32" s="17" t="str">
        <f t="shared" si="87"/>
        <v>-</v>
      </c>
      <c r="X32" s="16"/>
      <c r="Y32" s="18" t="str">
        <f t="shared" si="88"/>
        <v>-</v>
      </c>
      <c r="Z32" s="10"/>
      <c r="AA32" s="19"/>
      <c r="AB32" s="13">
        <f t="shared" si="89"/>
        <v>0</v>
      </c>
      <c r="AC32" s="17" t="str">
        <f t="shared" si="90"/>
        <v>-</v>
      </c>
      <c r="AD32" s="10"/>
      <c r="AE32" s="19"/>
      <c r="AF32" s="13">
        <f t="shared" si="91"/>
        <v>0</v>
      </c>
      <c r="AG32" s="17" t="str">
        <f t="shared" si="92"/>
        <v>-</v>
      </c>
      <c r="AH32" s="10"/>
      <c r="AI32" s="19"/>
      <c r="AJ32" s="13">
        <f t="shared" si="93"/>
        <v>0</v>
      </c>
      <c r="AK32" s="17" t="str">
        <f t="shared" si="94"/>
        <v>-</v>
      </c>
      <c r="AL32" s="10"/>
      <c r="AM32" s="18" t="str">
        <f t="shared" si="95"/>
        <v>-</v>
      </c>
      <c r="AN32" s="15"/>
      <c r="AO32" s="17">
        <f t="shared" si="80"/>
        <v>0</v>
      </c>
      <c r="AP32" s="10"/>
    </row>
    <row r="33" spans="1:42" ht="30.75" customHeight="1" x14ac:dyDescent="0.3">
      <c r="A33" s="10"/>
      <c r="B33" s="11"/>
      <c r="C33" s="12"/>
      <c r="D33" s="12"/>
      <c r="E33" s="10"/>
      <c r="F33" s="13" t="s">
        <v>72</v>
      </c>
      <c r="G33" s="14" t="s">
        <v>33</v>
      </c>
      <c r="H33" s="15"/>
      <c r="I33" s="16">
        <f t="shared" si="81"/>
        <v>0</v>
      </c>
      <c r="J33" s="10"/>
      <c r="K33" s="17">
        <f t="shared" si="82"/>
        <v>0</v>
      </c>
      <c r="L33" s="18"/>
      <c r="M33" s="17">
        <f t="shared" si="83"/>
        <v>0</v>
      </c>
      <c r="N33" s="19"/>
      <c r="O33" s="17">
        <f t="shared" si="84"/>
        <v>0</v>
      </c>
      <c r="P33" s="17">
        <f t="shared" si="67"/>
        <v>0</v>
      </c>
      <c r="Q33" s="18" t="str">
        <f t="shared" si="85"/>
        <v>-</v>
      </c>
      <c r="R33" s="10"/>
      <c r="S33" s="20"/>
      <c r="T33" s="16"/>
      <c r="U33" s="13" t="s">
        <v>35</v>
      </c>
      <c r="V33" s="17" t="str">
        <f t="shared" si="86"/>
        <v>-</v>
      </c>
      <c r="W33" s="17" t="str">
        <f t="shared" si="87"/>
        <v>-</v>
      </c>
      <c r="X33" s="16"/>
      <c r="Y33" s="18" t="str">
        <f t="shared" si="88"/>
        <v>-</v>
      </c>
      <c r="Z33" s="10"/>
      <c r="AA33" s="19"/>
      <c r="AB33" s="13">
        <f t="shared" si="89"/>
        <v>0</v>
      </c>
      <c r="AC33" s="17" t="str">
        <f t="shared" si="90"/>
        <v>-</v>
      </c>
      <c r="AD33" s="10"/>
      <c r="AE33" s="19"/>
      <c r="AF33" s="13">
        <f t="shared" si="91"/>
        <v>0</v>
      </c>
      <c r="AG33" s="17" t="str">
        <f t="shared" si="92"/>
        <v>-</v>
      </c>
      <c r="AH33" s="10"/>
      <c r="AI33" s="19"/>
      <c r="AJ33" s="13">
        <f t="shared" si="93"/>
        <v>0</v>
      </c>
      <c r="AK33" s="17" t="str">
        <f t="shared" si="94"/>
        <v>-</v>
      </c>
      <c r="AL33" s="10"/>
      <c r="AM33" s="18" t="str">
        <f t="shared" si="95"/>
        <v>-</v>
      </c>
      <c r="AN33" s="15"/>
      <c r="AO33" s="17">
        <f t="shared" si="80"/>
        <v>0</v>
      </c>
      <c r="AP33" s="10"/>
    </row>
    <row r="34" spans="1:42" ht="30.75" customHeight="1" x14ac:dyDescent="0.3">
      <c r="A34" s="10"/>
      <c r="B34" s="11"/>
      <c r="C34" s="12"/>
      <c r="D34" s="12"/>
      <c r="E34" s="10"/>
      <c r="F34" s="13" t="s">
        <v>72</v>
      </c>
      <c r="G34" s="14" t="s">
        <v>33</v>
      </c>
      <c r="H34" s="15"/>
      <c r="I34" s="16">
        <f t="shared" si="81"/>
        <v>0</v>
      </c>
      <c r="J34" s="10"/>
      <c r="K34" s="17">
        <f t="shared" si="82"/>
        <v>0</v>
      </c>
      <c r="L34" s="18"/>
      <c r="M34" s="17">
        <f t="shared" si="83"/>
        <v>0</v>
      </c>
      <c r="N34" s="19"/>
      <c r="O34" s="17">
        <f t="shared" si="84"/>
        <v>0</v>
      </c>
      <c r="P34" s="17">
        <f t="shared" si="67"/>
        <v>0</v>
      </c>
      <c r="Q34" s="18" t="str">
        <f t="shared" si="85"/>
        <v>-</v>
      </c>
      <c r="R34" s="10"/>
      <c r="S34" s="20"/>
      <c r="T34" s="16"/>
      <c r="U34" s="13" t="s">
        <v>35</v>
      </c>
      <c r="V34" s="17" t="str">
        <f t="shared" si="86"/>
        <v>-</v>
      </c>
      <c r="W34" s="17" t="str">
        <f t="shared" si="87"/>
        <v>-</v>
      </c>
      <c r="X34" s="16"/>
      <c r="Y34" s="18" t="str">
        <f t="shared" si="88"/>
        <v>-</v>
      </c>
      <c r="Z34" s="10"/>
      <c r="AA34" s="19"/>
      <c r="AB34" s="13">
        <f t="shared" si="89"/>
        <v>0</v>
      </c>
      <c r="AC34" s="17" t="str">
        <f t="shared" si="90"/>
        <v>-</v>
      </c>
      <c r="AD34" s="10"/>
      <c r="AE34" s="19"/>
      <c r="AF34" s="13">
        <f t="shared" si="91"/>
        <v>0</v>
      </c>
      <c r="AG34" s="17" t="str">
        <f t="shared" si="92"/>
        <v>-</v>
      </c>
      <c r="AH34" s="10"/>
      <c r="AI34" s="19"/>
      <c r="AJ34" s="13">
        <f t="shared" si="93"/>
        <v>0</v>
      </c>
      <c r="AK34" s="17" t="str">
        <f t="shared" si="94"/>
        <v>-</v>
      </c>
      <c r="AL34" s="10"/>
      <c r="AM34" s="18" t="str">
        <f t="shared" si="95"/>
        <v>-</v>
      </c>
      <c r="AN34" s="15"/>
      <c r="AO34" s="17">
        <f t="shared" si="80"/>
        <v>0</v>
      </c>
      <c r="AP34" s="10"/>
    </row>
    <row r="35" spans="1:42" ht="30.75" customHeight="1" x14ac:dyDescent="0.3">
      <c r="A35" s="10"/>
      <c r="B35" s="11"/>
      <c r="C35" s="12"/>
      <c r="D35" s="12"/>
      <c r="E35" s="10"/>
      <c r="F35" s="13" t="s">
        <v>72</v>
      </c>
      <c r="G35" s="14" t="s">
        <v>33</v>
      </c>
      <c r="H35" s="15"/>
      <c r="I35" s="16">
        <f t="shared" si="81"/>
        <v>0</v>
      </c>
      <c r="J35" s="10"/>
      <c r="K35" s="17">
        <f t="shared" si="82"/>
        <v>0</v>
      </c>
      <c r="L35" s="18"/>
      <c r="M35" s="17">
        <f t="shared" si="83"/>
        <v>0</v>
      </c>
      <c r="N35" s="19"/>
      <c r="O35" s="17">
        <f t="shared" si="84"/>
        <v>0</v>
      </c>
      <c r="P35" s="17">
        <f t="shared" si="67"/>
        <v>0</v>
      </c>
      <c r="Q35" s="18" t="str">
        <f t="shared" si="85"/>
        <v>-</v>
      </c>
      <c r="R35" s="10"/>
      <c r="S35" s="20"/>
      <c r="T35" s="16"/>
      <c r="U35" s="13" t="s">
        <v>35</v>
      </c>
      <c r="V35" s="17" t="str">
        <f t="shared" si="86"/>
        <v>-</v>
      </c>
      <c r="W35" s="17" t="str">
        <f t="shared" si="87"/>
        <v>-</v>
      </c>
      <c r="X35" s="16"/>
      <c r="Y35" s="18" t="str">
        <f t="shared" si="88"/>
        <v>-</v>
      </c>
      <c r="Z35" s="10"/>
      <c r="AA35" s="19"/>
      <c r="AB35" s="13">
        <f t="shared" si="89"/>
        <v>0</v>
      </c>
      <c r="AC35" s="17" t="str">
        <f t="shared" si="90"/>
        <v>-</v>
      </c>
      <c r="AD35" s="10"/>
      <c r="AE35" s="19"/>
      <c r="AF35" s="13">
        <f t="shared" si="91"/>
        <v>0</v>
      </c>
      <c r="AG35" s="17" t="str">
        <f t="shared" si="92"/>
        <v>-</v>
      </c>
      <c r="AH35" s="10"/>
      <c r="AI35" s="19"/>
      <c r="AJ35" s="13">
        <f t="shared" si="93"/>
        <v>0</v>
      </c>
      <c r="AK35" s="17" t="str">
        <f t="shared" si="94"/>
        <v>-</v>
      </c>
      <c r="AL35" s="10"/>
      <c r="AM35" s="18" t="str">
        <f t="shared" si="95"/>
        <v>-</v>
      </c>
      <c r="AN35" s="15"/>
      <c r="AO35" s="17">
        <f t="shared" si="80"/>
        <v>0</v>
      </c>
      <c r="AP35" s="10"/>
    </row>
    <row r="36" spans="1:42" ht="30.75" customHeight="1" x14ac:dyDescent="0.3">
      <c r="A36" s="10"/>
      <c r="B36" s="11"/>
      <c r="C36" s="12"/>
      <c r="D36" s="12"/>
      <c r="E36" s="10"/>
      <c r="F36" s="13" t="s">
        <v>72</v>
      </c>
      <c r="G36" s="14" t="s">
        <v>33</v>
      </c>
      <c r="H36" s="15"/>
      <c r="I36" s="16">
        <f t="shared" si="79"/>
        <v>0</v>
      </c>
      <c r="J36" s="10"/>
      <c r="K36" s="17">
        <f t="shared" si="64"/>
        <v>0</v>
      </c>
      <c r="L36" s="18"/>
      <c r="M36" s="17">
        <f t="shared" si="65"/>
        <v>0</v>
      </c>
      <c r="N36" s="19"/>
      <c r="O36" s="17">
        <f t="shared" si="66"/>
        <v>0</v>
      </c>
      <c r="P36" s="17">
        <f t="shared" si="67"/>
        <v>0</v>
      </c>
      <c r="Q36" s="18" t="str">
        <f t="shared" si="68"/>
        <v>-</v>
      </c>
      <c r="R36" s="10"/>
      <c r="S36" s="20"/>
      <c r="T36" s="16"/>
      <c r="U36" s="13" t="s">
        <v>35</v>
      </c>
      <c r="V36" s="17" t="str">
        <f t="shared" si="69"/>
        <v>-</v>
      </c>
      <c r="W36" s="17" t="str">
        <f t="shared" si="70"/>
        <v>-</v>
      </c>
      <c r="X36" s="16"/>
      <c r="Y36" s="18" t="str">
        <f t="shared" si="71"/>
        <v>-</v>
      </c>
      <c r="Z36" s="10"/>
      <c r="AA36" s="19"/>
      <c r="AB36" s="13">
        <f t="shared" si="72"/>
        <v>0</v>
      </c>
      <c r="AC36" s="17" t="str">
        <f t="shared" si="73"/>
        <v>-</v>
      </c>
      <c r="AD36" s="10"/>
      <c r="AE36" s="19"/>
      <c r="AF36" s="13">
        <f t="shared" si="74"/>
        <v>0</v>
      </c>
      <c r="AG36" s="17" t="str">
        <f t="shared" si="75"/>
        <v>-</v>
      </c>
      <c r="AH36" s="10"/>
      <c r="AI36" s="19"/>
      <c r="AJ36" s="13">
        <f t="shared" si="76"/>
        <v>0</v>
      </c>
      <c r="AK36" s="17" t="str">
        <f t="shared" si="77"/>
        <v>-</v>
      </c>
      <c r="AL36" s="10"/>
      <c r="AM36" s="18" t="str">
        <f t="shared" si="78"/>
        <v>-</v>
      </c>
      <c r="AN36" s="15"/>
      <c r="AO36" s="17">
        <f t="shared" si="80"/>
        <v>0</v>
      </c>
      <c r="AP36" s="10"/>
    </row>
    <row r="37" spans="1:42" ht="30.75" customHeight="1" x14ac:dyDescent="0.3">
      <c r="A37" s="10"/>
      <c r="B37" s="11"/>
      <c r="C37" s="12"/>
      <c r="D37" s="12"/>
      <c r="E37" s="10"/>
      <c r="F37" s="13" t="s">
        <v>72</v>
      </c>
      <c r="G37" s="14" t="s">
        <v>33</v>
      </c>
      <c r="H37" s="15"/>
      <c r="I37" s="16">
        <f t="shared" si="79"/>
        <v>0</v>
      </c>
      <c r="J37" s="10"/>
      <c r="K37" s="17">
        <f t="shared" si="64"/>
        <v>0</v>
      </c>
      <c r="L37" s="18"/>
      <c r="M37" s="17">
        <f t="shared" si="65"/>
        <v>0</v>
      </c>
      <c r="N37" s="19"/>
      <c r="O37" s="17">
        <f t="shared" si="66"/>
        <v>0</v>
      </c>
      <c r="P37" s="17">
        <f t="shared" si="67"/>
        <v>0</v>
      </c>
      <c r="Q37" s="18" t="str">
        <f t="shared" si="68"/>
        <v>-</v>
      </c>
      <c r="R37" s="10"/>
      <c r="S37" s="20"/>
      <c r="T37" s="16"/>
      <c r="U37" s="13" t="s">
        <v>35</v>
      </c>
      <c r="V37" s="17" t="str">
        <f t="shared" si="69"/>
        <v>-</v>
      </c>
      <c r="W37" s="17" t="str">
        <f t="shared" si="70"/>
        <v>-</v>
      </c>
      <c r="X37" s="16"/>
      <c r="Y37" s="18" t="str">
        <f t="shared" si="71"/>
        <v>-</v>
      </c>
      <c r="Z37" s="10"/>
      <c r="AA37" s="19"/>
      <c r="AB37" s="13">
        <f t="shared" si="72"/>
        <v>0</v>
      </c>
      <c r="AC37" s="17" t="str">
        <f t="shared" si="73"/>
        <v>-</v>
      </c>
      <c r="AD37" s="10"/>
      <c r="AE37" s="19"/>
      <c r="AF37" s="13">
        <f t="shared" si="74"/>
        <v>0</v>
      </c>
      <c r="AG37" s="17" t="str">
        <f t="shared" si="75"/>
        <v>-</v>
      </c>
      <c r="AH37" s="10"/>
      <c r="AI37" s="19"/>
      <c r="AJ37" s="13">
        <f t="shared" si="76"/>
        <v>0</v>
      </c>
      <c r="AK37" s="17" t="str">
        <f t="shared" si="77"/>
        <v>-</v>
      </c>
      <c r="AL37" s="10"/>
      <c r="AM37" s="18" t="str">
        <f t="shared" si="78"/>
        <v>-</v>
      </c>
      <c r="AN37" s="15"/>
      <c r="AO37" s="17">
        <f t="shared" si="80"/>
        <v>0</v>
      </c>
      <c r="AP37" s="10"/>
    </row>
    <row r="38" spans="1:42" ht="30.75" customHeight="1" x14ac:dyDescent="0.3">
      <c r="A38" s="10"/>
      <c r="B38" s="11"/>
      <c r="C38" s="12"/>
      <c r="D38" s="12"/>
      <c r="E38" s="10"/>
      <c r="F38" s="13" t="s">
        <v>72</v>
      </c>
      <c r="G38" s="14" t="s">
        <v>33</v>
      </c>
      <c r="H38" s="15"/>
      <c r="I38" s="16">
        <f t="shared" si="79"/>
        <v>0</v>
      </c>
      <c r="J38" s="10"/>
      <c r="K38" s="17">
        <f t="shared" si="64"/>
        <v>0</v>
      </c>
      <c r="L38" s="18"/>
      <c r="M38" s="17">
        <f t="shared" si="65"/>
        <v>0</v>
      </c>
      <c r="N38" s="19"/>
      <c r="O38" s="17">
        <f t="shared" si="66"/>
        <v>0</v>
      </c>
      <c r="P38" s="17">
        <f t="shared" si="67"/>
        <v>0</v>
      </c>
      <c r="Q38" s="18" t="str">
        <f t="shared" si="68"/>
        <v>-</v>
      </c>
      <c r="R38" s="10"/>
      <c r="S38" s="20"/>
      <c r="T38" s="16"/>
      <c r="U38" s="13" t="s">
        <v>35</v>
      </c>
      <c r="V38" s="17" t="str">
        <f t="shared" si="69"/>
        <v>-</v>
      </c>
      <c r="W38" s="17" t="str">
        <f t="shared" si="70"/>
        <v>-</v>
      </c>
      <c r="X38" s="16"/>
      <c r="Y38" s="18" t="str">
        <f t="shared" si="71"/>
        <v>-</v>
      </c>
      <c r="Z38" s="10"/>
      <c r="AA38" s="19"/>
      <c r="AB38" s="13">
        <f t="shared" si="72"/>
        <v>0</v>
      </c>
      <c r="AC38" s="17" t="str">
        <f t="shared" si="73"/>
        <v>-</v>
      </c>
      <c r="AD38" s="10"/>
      <c r="AE38" s="19"/>
      <c r="AF38" s="13">
        <f t="shared" si="74"/>
        <v>0</v>
      </c>
      <c r="AG38" s="17" t="str">
        <f t="shared" si="75"/>
        <v>-</v>
      </c>
      <c r="AH38" s="10"/>
      <c r="AI38" s="19"/>
      <c r="AJ38" s="13">
        <f t="shared" si="76"/>
        <v>0</v>
      </c>
      <c r="AK38" s="17" t="str">
        <f t="shared" si="77"/>
        <v>-</v>
      </c>
      <c r="AL38" s="10"/>
      <c r="AM38" s="18" t="str">
        <f t="shared" si="78"/>
        <v>-</v>
      </c>
      <c r="AN38" s="15"/>
      <c r="AO38" s="17">
        <f t="shared" si="80"/>
        <v>0</v>
      </c>
      <c r="AP38" s="10"/>
    </row>
    <row r="39" spans="1:42" ht="17.25" customHeight="1" x14ac:dyDescent="0.3">
      <c r="A39" s="22"/>
      <c r="B39" s="6" t="s">
        <v>34</v>
      </c>
      <c r="C39" s="9" t="s">
        <v>35</v>
      </c>
      <c r="D39" s="9" t="s">
        <v>35</v>
      </c>
      <c r="E39" s="22"/>
      <c r="F39" s="9" t="s">
        <v>35</v>
      </c>
      <c r="G39" s="6" t="s">
        <v>35</v>
      </c>
      <c r="H39" s="5" t="str">
        <f>IFERROR(K39/I39,"-")</f>
        <v>-</v>
      </c>
      <c r="I39" s="25">
        <f>IFERROR(SUM(I29:I38),"-")</f>
        <v>0</v>
      </c>
      <c r="J39" s="22"/>
      <c r="K39" s="23">
        <f>IFERROR(SUM(K29:K38),"-")</f>
        <v>0</v>
      </c>
      <c r="L39" s="6" t="s">
        <v>35</v>
      </c>
      <c r="M39" s="23">
        <f>IFERROR(SUM(M29:M38),"-")</f>
        <v>0</v>
      </c>
      <c r="N39" s="9" t="s">
        <v>35</v>
      </c>
      <c r="O39" s="23">
        <f>IFERROR(SUM(O29:O38),"-")</f>
        <v>0</v>
      </c>
      <c r="P39" s="23">
        <f t="shared" si="67"/>
        <v>0</v>
      </c>
      <c r="Q39" s="24">
        <v>0</v>
      </c>
      <c r="R39" s="22"/>
      <c r="S39" s="25">
        <f>IFERROR(SUM(S29:S38),"-")</f>
        <v>0</v>
      </c>
      <c r="T39" s="25" t="s">
        <v>35</v>
      </c>
      <c r="U39" s="25" t="s">
        <v>35</v>
      </c>
      <c r="V39" s="23" t="str">
        <f t="shared" si="69"/>
        <v>-</v>
      </c>
      <c r="W39" s="23" t="str">
        <f t="shared" si="70"/>
        <v>-</v>
      </c>
      <c r="X39" s="6" t="s">
        <v>35</v>
      </c>
      <c r="Y39" s="6" t="s">
        <v>35</v>
      </c>
      <c r="Z39" s="22"/>
      <c r="AA39" s="24" t="str">
        <f>IFERROR(AB39/S39,"-")</f>
        <v>-</v>
      </c>
      <c r="AB39" s="25">
        <f>IFERROR(SUM(AB29:AB38),"-")</f>
        <v>0</v>
      </c>
      <c r="AC39" s="23" t="str">
        <f t="shared" si="73"/>
        <v>-</v>
      </c>
      <c r="AD39" s="22"/>
      <c r="AE39" s="24" t="str">
        <f>IFERROR(AF39/AB39,"-")</f>
        <v>-</v>
      </c>
      <c r="AF39" s="25">
        <f>IFERROR(SUM(AF29:AF38),"-")</f>
        <v>0</v>
      </c>
      <c r="AG39" s="23" t="str">
        <f t="shared" si="75"/>
        <v>-</v>
      </c>
      <c r="AH39" s="22"/>
      <c r="AI39" s="24" t="str">
        <f>IFERROR(AJ39/AB39,"-")</f>
        <v>-</v>
      </c>
      <c r="AJ39" s="25">
        <v>0</v>
      </c>
      <c r="AK39" s="23" t="str">
        <f>IFERROR(L39/AJ39,"-")</f>
        <v>-</v>
      </c>
      <c r="AL39" s="22"/>
      <c r="AM39" s="24" t="str">
        <f t="shared" si="78"/>
        <v>-</v>
      </c>
      <c r="AN39" s="23" t="str">
        <f>IFERROR(AO39/AF39,"-")</f>
        <v>-</v>
      </c>
      <c r="AO39" s="23">
        <f>IFERROR(SUM(AO29:AO38),"-")</f>
        <v>0</v>
      </c>
      <c r="AP39" s="22"/>
    </row>
    <row r="40" spans="1:42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6"/>
      <c r="K40" s="27"/>
      <c r="L40" s="27"/>
      <c r="M40" s="27"/>
      <c r="N40" s="27"/>
      <c r="O40" s="27"/>
      <c r="P40" s="27"/>
      <c r="Q40" s="27"/>
      <c r="R40" s="26"/>
      <c r="S40" s="27"/>
      <c r="T40" s="27"/>
      <c r="U40" s="27"/>
      <c r="V40" s="27"/>
      <c r="W40" s="27"/>
      <c r="X40" s="27"/>
      <c r="Y40" s="27"/>
      <c r="Z40" s="26"/>
      <c r="AA40" s="27"/>
      <c r="AB40" s="27"/>
      <c r="AC40" s="27"/>
      <c r="AD40" s="26"/>
      <c r="AE40" s="27"/>
      <c r="AF40" s="27"/>
      <c r="AG40" s="27"/>
      <c r="AH40" s="26"/>
      <c r="AI40" s="27"/>
      <c r="AJ40" s="27"/>
      <c r="AK40" s="27"/>
      <c r="AL40" s="26"/>
      <c r="AM40" s="27"/>
      <c r="AN40" s="27"/>
      <c r="AO40" s="27"/>
      <c r="AP40" s="26"/>
    </row>
    <row r="41" spans="1:42" ht="51.75" customHeight="1" x14ac:dyDescent="0.3">
      <c r="A41" s="1"/>
      <c r="B41" s="2" t="s">
        <v>0</v>
      </c>
      <c r="C41" s="2" t="s">
        <v>1</v>
      </c>
      <c r="D41" s="2" t="s">
        <v>2</v>
      </c>
      <c r="E41" s="1"/>
      <c r="F41" s="3" t="s">
        <v>3</v>
      </c>
      <c r="G41" s="2" t="s">
        <v>66</v>
      </c>
      <c r="H41" s="2" t="s">
        <v>67</v>
      </c>
      <c r="I41" s="2" t="s">
        <v>68</v>
      </c>
      <c r="J41" s="1"/>
      <c r="K41" s="4" t="s">
        <v>7</v>
      </c>
      <c r="L41" s="3" t="s">
        <v>8</v>
      </c>
      <c r="M41" s="4" t="s">
        <v>9</v>
      </c>
      <c r="N41" s="3" t="s">
        <v>10</v>
      </c>
      <c r="O41" s="5" t="s">
        <v>11</v>
      </c>
      <c r="P41" s="5" t="s">
        <v>12</v>
      </c>
      <c r="Q41" s="4" t="s">
        <v>13</v>
      </c>
      <c r="R41" s="1"/>
      <c r="S41" s="2" t="s">
        <v>14</v>
      </c>
      <c r="T41" s="2" t="s">
        <v>15</v>
      </c>
      <c r="U41" s="2" t="s">
        <v>16</v>
      </c>
      <c r="V41" s="2" t="s">
        <v>17</v>
      </c>
      <c r="W41" s="2" t="s">
        <v>18</v>
      </c>
      <c r="X41" s="2" t="s">
        <v>19</v>
      </c>
      <c r="Y41" s="2" t="s">
        <v>20</v>
      </c>
      <c r="Z41" s="1"/>
      <c r="AA41" s="6" t="s">
        <v>21</v>
      </c>
      <c r="AB41" s="7" t="s">
        <v>22</v>
      </c>
      <c r="AC41" s="7" t="s">
        <v>23</v>
      </c>
      <c r="AD41" s="1"/>
      <c r="AE41" s="6" t="s">
        <v>24</v>
      </c>
      <c r="AF41" s="8" t="s">
        <v>25</v>
      </c>
      <c r="AG41" s="8" t="s">
        <v>26</v>
      </c>
      <c r="AH41" s="1"/>
      <c r="AI41" s="9" t="s">
        <v>27</v>
      </c>
      <c r="AJ41" s="8" t="s">
        <v>28</v>
      </c>
      <c r="AK41" s="8" t="s">
        <v>56</v>
      </c>
      <c r="AL41" s="1"/>
      <c r="AM41" s="9" t="s">
        <v>30</v>
      </c>
      <c r="AN41" s="8" t="s">
        <v>31</v>
      </c>
      <c r="AO41" s="8" t="s">
        <v>32</v>
      </c>
      <c r="AP41" s="1"/>
    </row>
    <row r="42" spans="1:42" ht="30.75" customHeight="1" x14ac:dyDescent="0.3">
      <c r="A42" s="10"/>
      <c r="B42" s="11"/>
      <c r="C42" s="12"/>
      <c r="D42" s="12"/>
      <c r="E42" s="10"/>
      <c r="F42" s="13" t="s">
        <v>73</v>
      </c>
      <c r="G42" s="14" t="s">
        <v>33</v>
      </c>
      <c r="H42" s="15"/>
      <c r="I42" s="16">
        <f>IFERROR(S42*AA42,"-")</f>
        <v>0</v>
      </c>
      <c r="J42" s="10"/>
      <c r="K42" s="17">
        <f t="shared" ref="K42:K51" si="96">IFERROR((H42*I42),"-")</f>
        <v>0</v>
      </c>
      <c r="L42" s="18"/>
      <c r="M42" s="17">
        <f t="shared" ref="M42:M51" si="97">IFERROR(K42*(1-L42),"-")</f>
        <v>0</v>
      </c>
      <c r="N42" s="19"/>
      <c r="O42" s="17">
        <f t="shared" ref="O42:O51" si="98">IFERROR(M42*(1+N42),"-")</f>
        <v>0</v>
      </c>
      <c r="P42" s="17">
        <f t="shared" ref="P42:P52" si="99">IFERROR(O42*1.22,"-")</f>
        <v>0</v>
      </c>
      <c r="Q42" s="18" t="str">
        <f t="shared" ref="Q42:Q51" si="100">IFERROR(P42/$P$13,"-")</f>
        <v>-</v>
      </c>
      <c r="R42" s="10"/>
      <c r="S42" s="20"/>
      <c r="T42" s="16"/>
      <c r="U42" s="13" t="s">
        <v>35</v>
      </c>
      <c r="V42" s="17" t="str">
        <f t="shared" ref="V42:V52" si="101">IFERROR(P42/S42*1000,"-")</f>
        <v>-</v>
      </c>
      <c r="W42" s="17" t="str">
        <f t="shared" ref="W42:W52" si="102">IFERROR(P42/U42*1000,"-")</f>
        <v>-</v>
      </c>
      <c r="X42" s="16"/>
      <c r="Y42" s="18" t="str">
        <f t="shared" ref="Y42:Y51" si="103">IFERROR(U42/X42,"-")</f>
        <v>-</v>
      </c>
      <c r="Z42" s="10"/>
      <c r="AA42" s="19"/>
      <c r="AB42" s="13">
        <f t="shared" ref="AB42:AB51" si="104">IFERROR(ROUNDDOWN(S42*AA42,0),"-")</f>
        <v>0</v>
      </c>
      <c r="AC42" s="17" t="str">
        <f t="shared" ref="AC42:AC52" si="105">IFERROR(P42/AB42,"-")</f>
        <v>-</v>
      </c>
      <c r="AD42" s="10"/>
      <c r="AE42" s="19"/>
      <c r="AF42" s="13">
        <f t="shared" ref="AF42:AF51" si="106">IF(G42="CPI",AJ42*AE42,IFERROR(ROUNDDOWN(AB42*AE42,0),"-"))</f>
        <v>0</v>
      </c>
      <c r="AG42" s="17" t="str">
        <f t="shared" ref="AG42:AG52" si="107">IFERROR(P42/AF42,"-")</f>
        <v>-</v>
      </c>
      <c r="AH42" s="10"/>
      <c r="AI42" s="19"/>
      <c r="AJ42" s="13">
        <f t="shared" ref="AJ42:AJ51" si="108">IF(G42="CPI",I42,0)</f>
        <v>0</v>
      </c>
      <c r="AK42" s="17" t="str">
        <f t="shared" ref="AK42:AK51" si="109">IFERROR(P42/AJ42,"-")</f>
        <v>-</v>
      </c>
      <c r="AL42" s="10"/>
      <c r="AM42" s="18" t="str">
        <f t="shared" ref="AM42:AM52" si="110">IFERROR(P42/AO42,"-")</f>
        <v>-</v>
      </c>
      <c r="AN42" s="15"/>
      <c r="AO42" s="17">
        <f>AN42*AF42</f>
        <v>0</v>
      </c>
      <c r="AP42" s="10"/>
    </row>
    <row r="43" spans="1:42" ht="30.75" customHeight="1" x14ac:dyDescent="0.3">
      <c r="A43" s="10"/>
      <c r="B43" s="11"/>
      <c r="C43" s="12"/>
      <c r="D43" s="12"/>
      <c r="E43" s="10"/>
      <c r="F43" s="13" t="s">
        <v>73</v>
      </c>
      <c r="G43" s="14" t="s">
        <v>33</v>
      </c>
      <c r="H43" s="15"/>
      <c r="I43" s="16">
        <f t="shared" ref="I43:I47" si="111">IFERROR(S43*AA43,"-")</f>
        <v>0</v>
      </c>
      <c r="J43" s="10"/>
      <c r="K43" s="17">
        <f t="shared" ref="K43:K47" si="112">IFERROR((H43*I43),"-")</f>
        <v>0</v>
      </c>
      <c r="L43" s="18"/>
      <c r="M43" s="17">
        <f t="shared" ref="M43:M47" si="113">IFERROR(K43*(1-L43),"-")</f>
        <v>0</v>
      </c>
      <c r="N43" s="19"/>
      <c r="O43" s="17">
        <f t="shared" ref="O43:O47" si="114">IFERROR(M43*(1+N43),"-")</f>
        <v>0</v>
      </c>
      <c r="P43" s="17">
        <f t="shared" si="99"/>
        <v>0</v>
      </c>
      <c r="Q43" s="18" t="str">
        <f t="shared" ref="Q43:Q47" si="115">IFERROR(P43/$P$13,"-")</f>
        <v>-</v>
      </c>
      <c r="R43" s="10"/>
      <c r="S43" s="20"/>
      <c r="T43" s="16"/>
      <c r="U43" s="13" t="s">
        <v>35</v>
      </c>
      <c r="V43" s="17" t="str">
        <f t="shared" ref="V43:V47" si="116">IFERROR(P43/S43*1000,"-")</f>
        <v>-</v>
      </c>
      <c r="W43" s="17" t="str">
        <f t="shared" ref="W43:W47" si="117">IFERROR(P43/U43*1000,"-")</f>
        <v>-</v>
      </c>
      <c r="X43" s="16"/>
      <c r="Y43" s="18" t="str">
        <f t="shared" ref="Y43:Y47" si="118">IFERROR(U43/X43,"-")</f>
        <v>-</v>
      </c>
      <c r="Z43" s="10"/>
      <c r="AA43" s="19"/>
      <c r="AB43" s="13">
        <f t="shared" ref="AB43:AB47" si="119">IFERROR(ROUNDDOWN(S43*AA43,0),"-")</f>
        <v>0</v>
      </c>
      <c r="AC43" s="17" t="str">
        <f t="shared" ref="AC43:AC47" si="120">IFERROR(P43/AB43,"-")</f>
        <v>-</v>
      </c>
      <c r="AD43" s="10"/>
      <c r="AE43" s="19"/>
      <c r="AF43" s="13">
        <f t="shared" ref="AF43:AF47" si="121">IF(G43="CPI",AJ43*AE43,IFERROR(ROUNDDOWN(AB43*AE43,0),"-"))</f>
        <v>0</v>
      </c>
      <c r="AG43" s="17" t="str">
        <f t="shared" ref="AG43:AG47" si="122">IFERROR(P43/AF43,"-")</f>
        <v>-</v>
      </c>
      <c r="AH43" s="10"/>
      <c r="AI43" s="19"/>
      <c r="AJ43" s="13">
        <f t="shared" ref="AJ43:AJ47" si="123">IF(G43="CPI",I43,0)</f>
        <v>0</v>
      </c>
      <c r="AK43" s="17" t="str">
        <f t="shared" ref="AK43:AK47" si="124">IFERROR(P43/AJ43,"-")</f>
        <v>-</v>
      </c>
      <c r="AL43" s="10"/>
      <c r="AM43" s="18" t="str">
        <f t="shared" ref="AM43:AM47" si="125">IFERROR(P43/AO43,"-")</f>
        <v>-</v>
      </c>
      <c r="AN43" s="15"/>
      <c r="AO43" s="17">
        <f t="shared" ref="AO43:AO51" si="126">AN43*AF43</f>
        <v>0</v>
      </c>
      <c r="AP43" s="10"/>
    </row>
    <row r="44" spans="1:42" ht="30.75" customHeight="1" x14ac:dyDescent="0.3">
      <c r="A44" s="10"/>
      <c r="B44" s="11"/>
      <c r="C44" s="12"/>
      <c r="D44" s="12"/>
      <c r="E44" s="10"/>
      <c r="F44" s="13" t="s">
        <v>73</v>
      </c>
      <c r="G44" s="14" t="s">
        <v>33</v>
      </c>
      <c r="H44" s="15"/>
      <c r="I44" s="16">
        <f t="shared" si="111"/>
        <v>0</v>
      </c>
      <c r="J44" s="10"/>
      <c r="K44" s="17">
        <f t="shared" si="112"/>
        <v>0</v>
      </c>
      <c r="L44" s="18"/>
      <c r="M44" s="17">
        <f t="shared" si="113"/>
        <v>0</v>
      </c>
      <c r="N44" s="19"/>
      <c r="O44" s="17">
        <f t="shared" si="114"/>
        <v>0</v>
      </c>
      <c r="P44" s="17">
        <f t="shared" si="99"/>
        <v>0</v>
      </c>
      <c r="Q44" s="18" t="str">
        <f t="shared" si="115"/>
        <v>-</v>
      </c>
      <c r="R44" s="10"/>
      <c r="S44" s="20"/>
      <c r="T44" s="16"/>
      <c r="U44" s="13" t="s">
        <v>35</v>
      </c>
      <c r="V44" s="17" t="str">
        <f t="shared" si="116"/>
        <v>-</v>
      </c>
      <c r="W44" s="17" t="str">
        <f t="shared" si="117"/>
        <v>-</v>
      </c>
      <c r="X44" s="16"/>
      <c r="Y44" s="18" t="str">
        <f t="shared" si="118"/>
        <v>-</v>
      </c>
      <c r="Z44" s="10"/>
      <c r="AA44" s="19"/>
      <c r="AB44" s="13">
        <f t="shared" si="119"/>
        <v>0</v>
      </c>
      <c r="AC44" s="17" t="str">
        <f t="shared" si="120"/>
        <v>-</v>
      </c>
      <c r="AD44" s="10"/>
      <c r="AE44" s="19"/>
      <c r="AF44" s="13">
        <f t="shared" si="121"/>
        <v>0</v>
      </c>
      <c r="AG44" s="17" t="str">
        <f t="shared" si="122"/>
        <v>-</v>
      </c>
      <c r="AH44" s="10"/>
      <c r="AI44" s="19"/>
      <c r="AJ44" s="13">
        <f t="shared" si="123"/>
        <v>0</v>
      </c>
      <c r="AK44" s="17" t="str">
        <f t="shared" si="124"/>
        <v>-</v>
      </c>
      <c r="AL44" s="10"/>
      <c r="AM44" s="18" t="str">
        <f t="shared" si="125"/>
        <v>-</v>
      </c>
      <c r="AN44" s="15"/>
      <c r="AO44" s="17">
        <f t="shared" si="126"/>
        <v>0</v>
      </c>
      <c r="AP44" s="10"/>
    </row>
    <row r="45" spans="1:42" ht="30.75" customHeight="1" x14ac:dyDescent="0.3">
      <c r="A45" s="10"/>
      <c r="B45" s="11"/>
      <c r="C45" s="12"/>
      <c r="D45" s="12"/>
      <c r="E45" s="10"/>
      <c r="F45" s="13" t="s">
        <v>73</v>
      </c>
      <c r="G45" s="14" t="s">
        <v>33</v>
      </c>
      <c r="H45" s="15"/>
      <c r="I45" s="16">
        <f t="shared" si="111"/>
        <v>0</v>
      </c>
      <c r="J45" s="10"/>
      <c r="K45" s="17">
        <f t="shared" si="112"/>
        <v>0</v>
      </c>
      <c r="L45" s="18"/>
      <c r="M45" s="17">
        <f t="shared" si="113"/>
        <v>0</v>
      </c>
      <c r="N45" s="19"/>
      <c r="O45" s="17">
        <f t="shared" si="114"/>
        <v>0</v>
      </c>
      <c r="P45" s="17">
        <f t="shared" si="99"/>
        <v>0</v>
      </c>
      <c r="Q45" s="18" t="str">
        <f t="shared" si="115"/>
        <v>-</v>
      </c>
      <c r="R45" s="10"/>
      <c r="S45" s="20"/>
      <c r="T45" s="16"/>
      <c r="U45" s="13" t="s">
        <v>35</v>
      </c>
      <c r="V45" s="17" t="str">
        <f t="shared" si="116"/>
        <v>-</v>
      </c>
      <c r="W45" s="17" t="str">
        <f t="shared" si="117"/>
        <v>-</v>
      </c>
      <c r="X45" s="16"/>
      <c r="Y45" s="18" t="str">
        <f t="shared" si="118"/>
        <v>-</v>
      </c>
      <c r="Z45" s="10"/>
      <c r="AA45" s="19"/>
      <c r="AB45" s="13">
        <f t="shared" si="119"/>
        <v>0</v>
      </c>
      <c r="AC45" s="17" t="str">
        <f t="shared" si="120"/>
        <v>-</v>
      </c>
      <c r="AD45" s="10"/>
      <c r="AE45" s="19"/>
      <c r="AF45" s="13">
        <f t="shared" si="121"/>
        <v>0</v>
      </c>
      <c r="AG45" s="17" t="str">
        <f t="shared" si="122"/>
        <v>-</v>
      </c>
      <c r="AH45" s="10"/>
      <c r="AI45" s="19"/>
      <c r="AJ45" s="13">
        <f t="shared" si="123"/>
        <v>0</v>
      </c>
      <c r="AK45" s="17" t="str">
        <f t="shared" si="124"/>
        <v>-</v>
      </c>
      <c r="AL45" s="10"/>
      <c r="AM45" s="18" t="str">
        <f t="shared" si="125"/>
        <v>-</v>
      </c>
      <c r="AN45" s="15"/>
      <c r="AO45" s="17">
        <f t="shared" si="126"/>
        <v>0</v>
      </c>
      <c r="AP45" s="10"/>
    </row>
    <row r="46" spans="1:42" ht="30.75" customHeight="1" x14ac:dyDescent="0.3">
      <c r="A46" s="10"/>
      <c r="B46" s="11"/>
      <c r="C46" s="12"/>
      <c r="D46" s="12"/>
      <c r="E46" s="10"/>
      <c r="F46" s="13" t="s">
        <v>73</v>
      </c>
      <c r="G46" s="14" t="s">
        <v>33</v>
      </c>
      <c r="H46" s="15"/>
      <c r="I46" s="16">
        <f t="shared" si="111"/>
        <v>0</v>
      </c>
      <c r="J46" s="10"/>
      <c r="K46" s="17">
        <f t="shared" si="112"/>
        <v>0</v>
      </c>
      <c r="L46" s="18"/>
      <c r="M46" s="17">
        <f t="shared" si="113"/>
        <v>0</v>
      </c>
      <c r="N46" s="19"/>
      <c r="O46" s="17">
        <f t="shared" si="114"/>
        <v>0</v>
      </c>
      <c r="P46" s="17">
        <f t="shared" si="99"/>
        <v>0</v>
      </c>
      <c r="Q46" s="18" t="str">
        <f t="shared" si="115"/>
        <v>-</v>
      </c>
      <c r="R46" s="10"/>
      <c r="S46" s="20"/>
      <c r="T46" s="16"/>
      <c r="U46" s="13" t="s">
        <v>35</v>
      </c>
      <c r="V46" s="17" t="str">
        <f t="shared" si="116"/>
        <v>-</v>
      </c>
      <c r="W46" s="17" t="str">
        <f t="shared" si="117"/>
        <v>-</v>
      </c>
      <c r="X46" s="16"/>
      <c r="Y46" s="18" t="str">
        <f t="shared" si="118"/>
        <v>-</v>
      </c>
      <c r="Z46" s="10"/>
      <c r="AA46" s="19"/>
      <c r="AB46" s="13">
        <f t="shared" si="119"/>
        <v>0</v>
      </c>
      <c r="AC46" s="17" t="str">
        <f t="shared" si="120"/>
        <v>-</v>
      </c>
      <c r="AD46" s="10"/>
      <c r="AE46" s="19"/>
      <c r="AF46" s="13">
        <f t="shared" si="121"/>
        <v>0</v>
      </c>
      <c r="AG46" s="17" t="str">
        <f t="shared" si="122"/>
        <v>-</v>
      </c>
      <c r="AH46" s="10"/>
      <c r="AI46" s="19"/>
      <c r="AJ46" s="13">
        <f t="shared" si="123"/>
        <v>0</v>
      </c>
      <c r="AK46" s="17" t="str">
        <f t="shared" si="124"/>
        <v>-</v>
      </c>
      <c r="AL46" s="10"/>
      <c r="AM46" s="18" t="str">
        <f t="shared" si="125"/>
        <v>-</v>
      </c>
      <c r="AN46" s="15"/>
      <c r="AO46" s="17">
        <f t="shared" si="126"/>
        <v>0</v>
      </c>
      <c r="AP46" s="10"/>
    </row>
    <row r="47" spans="1:42" ht="30.75" customHeight="1" x14ac:dyDescent="0.3">
      <c r="A47" s="10"/>
      <c r="B47" s="11"/>
      <c r="C47" s="12"/>
      <c r="D47" s="12"/>
      <c r="E47" s="10"/>
      <c r="F47" s="13" t="s">
        <v>73</v>
      </c>
      <c r="G47" s="14" t="s">
        <v>33</v>
      </c>
      <c r="H47" s="15"/>
      <c r="I47" s="16">
        <f t="shared" si="111"/>
        <v>0</v>
      </c>
      <c r="J47" s="10"/>
      <c r="K47" s="17">
        <f t="shared" si="112"/>
        <v>0</v>
      </c>
      <c r="L47" s="18"/>
      <c r="M47" s="17">
        <f t="shared" si="113"/>
        <v>0</v>
      </c>
      <c r="N47" s="19"/>
      <c r="O47" s="17">
        <f t="shared" si="114"/>
        <v>0</v>
      </c>
      <c r="P47" s="17">
        <f t="shared" si="99"/>
        <v>0</v>
      </c>
      <c r="Q47" s="18" t="str">
        <f t="shared" si="115"/>
        <v>-</v>
      </c>
      <c r="R47" s="10"/>
      <c r="S47" s="20"/>
      <c r="T47" s="16"/>
      <c r="U47" s="13" t="s">
        <v>35</v>
      </c>
      <c r="V47" s="17" t="str">
        <f t="shared" si="116"/>
        <v>-</v>
      </c>
      <c r="W47" s="17" t="str">
        <f t="shared" si="117"/>
        <v>-</v>
      </c>
      <c r="X47" s="16"/>
      <c r="Y47" s="18" t="str">
        <f t="shared" si="118"/>
        <v>-</v>
      </c>
      <c r="Z47" s="10"/>
      <c r="AA47" s="19"/>
      <c r="AB47" s="13">
        <f t="shared" si="119"/>
        <v>0</v>
      </c>
      <c r="AC47" s="17" t="str">
        <f t="shared" si="120"/>
        <v>-</v>
      </c>
      <c r="AD47" s="10"/>
      <c r="AE47" s="19"/>
      <c r="AF47" s="13">
        <f t="shared" si="121"/>
        <v>0</v>
      </c>
      <c r="AG47" s="17" t="str">
        <f t="shared" si="122"/>
        <v>-</v>
      </c>
      <c r="AH47" s="10"/>
      <c r="AI47" s="19"/>
      <c r="AJ47" s="13">
        <f t="shared" si="123"/>
        <v>0</v>
      </c>
      <c r="AK47" s="17" t="str">
        <f t="shared" si="124"/>
        <v>-</v>
      </c>
      <c r="AL47" s="10"/>
      <c r="AM47" s="18" t="str">
        <f t="shared" si="125"/>
        <v>-</v>
      </c>
      <c r="AN47" s="15"/>
      <c r="AO47" s="17">
        <f t="shared" si="126"/>
        <v>0</v>
      </c>
      <c r="AP47" s="10"/>
    </row>
    <row r="48" spans="1:42" ht="30.75" customHeight="1" x14ac:dyDescent="0.3">
      <c r="A48" s="10"/>
      <c r="B48" s="11"/>
      <c r="C48" s="12"/>
      <c r="D48" s="12"/>
      <c r="E48" s="10"/>
      <c r="F48" s="13" t="s">
        <v>73</v>
      </c>
      <c r="G48" s="14" t="s">
        <v>33</v>
      </c>
      <c r="H48" s="15"/>
      <c r="I48" s="16">
        <f t="shared" ref="I48:I51" si="127">IFERROR(S48*AA48,"-")</f>
        <v>0</v>
      </c>
      <c r="J48" s="10"/>
      <c r="K48" s="17">
        <f t="shared" si="96"/>
        <v>0</v>
      </c>
      <c r="L48" s="18"/>
      <c r="M48" s="17">
        <f t="shared" si="97"/>
        <v>0</v>
      </c>
      <c r="N48" s="19"/>
      <c r="O48" s="17">
        <f t="shared" si="98"/>
        <v>0</v>
      </c>
      <c r="P48" s="17">
        <f t="shared" si="99"/>
        <v>0</v>
      </c>
      <c r="Q48" s="18" t="str">
        <f t="shared" si="100"/>
        <v>-</v>
      </c>
      <c r="R48" s="10"/>
      <c r="S48" s="20"/>
      <c r="T48" s="16"/>
      <c r="U48" s="13" t="s">
        <v>35</v>
      </c>
      <c r="V48" s="17" t="str">
        <f t="shared" si="101"/>
        <v>-</v>
      </c>
      <c r="W48" s="17" t="str">
        <f t="shared" si="102"/>
        <v>-</v>
      </c>
      <c r="X48" s="16"/>
      <c r="Y48" s="18" t="str">
        <f t="shared" si="103"/>
        <v>-</v>
      </c>
      <c r="Z48" s="10"/>
      <c r="AA48" s="19"/>
      <c r="AB48" s="13">
        <f t="shared" si="104"/>
        <v>0</v>
      </c>
      <c r="AC48" s="17" t="str">
        <f t="shared" si="105"/>
        <v>-</v>
      </c>
      <c r="AD48" s="10"/>
      <c r="AE48" s="19"/>
      <c r="AF48" s="13">
        <f t="shared" si="106"/>
        <v>0</v>
      </c>
      <c r="AG48" s="17" t="str">
        <f t="shared" si="107"/>
        <v>-</v>
      </c>
      <c r="AH48" s="10"/>
      <c r="AI48" s="19"/>
      <c r="AJ48" s="13">
        <f t="shared" si="108"/>
        <v>0</v>
      </c>
      <c r="AK48" s="17" t="str">
        <f t="shared" si="109"/>
        <v>-</v>
      </c>
      <c r="AL48" s="10"/>
      <c r="AM48" s="18" t="str">
        <f t="shared" si="110"/>
        <v>-</v>
      </c>
      <c r="AN48" s="15"/>
      <c r="AO48" s="17">
        <f t="shared" si="126"/>
        <v>0</v>
      </c>
      <c r="AP48" s="10"/>
    </row>
    <row r="49" spans="1:42" ht="30.75" customHeight="1" x14ac:dyDescent="0.3">
      <c r="A49" s="10"/>
      <c r="B49" s="11"/>
      <c r="C49" s="12"/>
      <c r="D49" s="12"/>
      <c r="E49" s="10"/>
      <c r="F49" s="13" t="s">
        <v>73</v>
      </c>
      <c r="G49" s="14" t="s">
        <v>33</v>
      </c>
      <c r="H49" s="15"/>
      <c r="I49" s="16">
        <f t="shared" si="127"/>
        <v>0</v>
      </c>
      <c r="J49" s="10"/>
      <c r="K49" s="17">
        <f t="shared" si="96"/>
        <v>0</v>
      </c>
      <c r="L49" s="18"/>
      <c r="M49" s="17">
        <f t="shared" si="97"/>
        <v>0</v>
      </c>
      <c r="N49" s="19"/>
      <c r="O49" s="17">
        <f t="shared" si="98"/>
        <v>0</v>
      </c>
      <c r="P49" s="17">
        <f t="shared" si="99"/>
        <v>0</v>
      </c>
      <c r="Q49" s="18" t="str">
        <f t="shared" si="100"/>
        <v>-</v>
      </c>
      <c r="R49" s="10"/>
      <c r="S49" s="20"/>
      <c r="T49" s="16"/>
      <c r="U49" s="13" t="s">
        <v>35</v>
      </c>
      <c r="V49" s="17" t="str">
        <f t="shared" si="101"/>
        <v>-</v>
      </c>
      <c r="W49" s="17" t="str">
        <f t="shared" si="102"/>
        <v>-</v>
      </c>
      <c r="X49" s="16"/>
      <c r="Y49" s="18" t="str">
        <f t="shared" si="103"/>
        <v>-</v>
      </c>
      <c r="Z49" s="10"/>
      <c r="AA49" s="19"/>
      <c r="AB49" s="13">
        <f t="shared" si="104"/>
        <v>0</v>
      </c>
      <c r="AC49" s="17" t="str">
        <f t="shared" si="105"/>
        <v>-</v>
      </c>
      <c r="AD49" s="10"/>
      <c r="AE49" s="19"/>
      <c r="AF49" s="13">
        <f t="shared" si="106"/>
        <v>0</v>
      </c>
      <c r="AG49" s="17" t="str">
        <f t="shared" si="107"/>
        <v>-</v>
      </c>
      <c r="AH49" s="10"/>
      <c r="AI49" s="19"/>
      <c r="AJ49" s="13">
        <f t="shared" si="108"/>
        <v>0</v>
      </c>
      <c r="AK49" s="17" t="str">
        <f t="shared" si="109"/>
        <v>-</v>
      </c>
      <c r="AL49" s="10"/>
      <c r="AM49" s="18" t="str">
        <f t="shared" si="110"/>
        <v>-</v>
      </c>
      <c r="AN49" s="15"/>
      <c r="AO49" s="17">
        <f t="shared" si="126"/>
        <v>0</v>
      </c>
      <c r="AP49" s="10"/>
    </row>
    <row r="50" spans="1:42" ht="30.75" customHeight="1" x14ac:dyDescent="0.3">
      <c r="A50" s="10"/>
      <c r="B50" s="11"/>
      <c r="C50" s="12"/>
      <c r="D50" s="12"/>
      <c r="E50" s="10"/>
      <c r="F50" s="13" t="s">
        <v>73</v>
      </c>
      <c r="G50" s="14" t="s">
        <v>33</v>
      </c>
      <c r="H50" s="15"/>
      <c r="I50" s="16">
        <f t="shared" si="127"/>
        <v>0</v>
      </c>
      <c r="J50" s="10"/>
      <c r="K50" s="17">
        <f t="shared" si="96"/>
        <v>0</v>
      </c>
      <c r="L50" s="18"/>
      <c r="M50" s="17">
        <f t="shared" si="97"/>
        <v>0</v>
      </c>
      <c r="N50" s="19"/>
      <c r="O50" s="17">
        <f t="shared" si="98"/>
        <v>0</v>
      </c>
      <c r="P50" s="17">
        <f t="shared" si="99"/>
        <v>0</v>
      </c>
      <c r="Q50" s="18" t="str">
        <f t="shared" si="100"/>
        <v>-</v>
      </c>
      <c r="R50" s="10"/>
      <c r="S50" s="20"/>
      <c r="T50" s="16"/>
      <c r="U50" s="13" t="s">
        <v>35</v>
      </c>
      <c r="V50" s="17" t="str">
        <f t="shared" si="101"/>
        <v>-</v>
      </c>
      <c r="W50" s="17" t="str">
        <f t="shared" si="102"/>
        <v>-</v>
      </c>
      <c r="X50" s="16"/>
      <c r="Y50" s="18" t="str">
        <f t="shared" si="103"/>
        <v>-</v>
      </c>
      <c r="Z50" s="10"/>
      <c r="AA50" s="19"/>
      <c r="AB50" s="13">
        <f t="shared" si="104"/>
        <v>0</v>
      </c>
      <c r="AC50" s="17" t="str">
        <f t="shared" si="105"/>
        <v>-</v>
      </c>
      <c r="AD50" s="10"/>
      <c r="AE50" s="19"/>
      <c r="AF50" s="13">
        <f t="shared" si="106"/>
        <v>0</v>
      </c>
      <c r="AG50" s="17" t="str">
        <f t="shared" si="107"/>
        <v>-</v>
      </c>
      <c r="AH50" s="10"/>
      <c r="AI50" s="19"/>
      <c r="AJ50" s="13">
        <f t="shared" si="108"/>
        <v>0</v>
      </c>
      <c r="AK50" s="17" t="str">
        <f t="shared" si="109"/>
        <v>-</v>
      </c>
      <c r="AL50" s="10"/>
      <c r="AM50" s="18" t="str">
        <f t="shared" si="110"/>
        <v>-</v>
      </c>
      <c r="AN50" s="15"/>
      <c r="AO50" s="17">
        <f t="shared" si="126"/>
        <v>0</v>
      </c>
      <c r="AP50" s="10"/>
    </row>
    <row r="51" spans="1:42" ht="30.75" customHeight="1" x14ac:dyDescent="0.3">
      <c r="A51" s="10"/>
      <c r="B51" s="11"/>
      <c r="C51" s="12"/>
      <c r="D51" s="12"/>
      <c r="E51" s="10"/>
      <c r="F51" s="13" t="s">
        <v>73</v>
      </c>
      <c r="G51" s="14" t="s">
        <v>33</v>
      </c>
      <c r="H51" s="15"/>
      <c r="I51" s="16">
        <f t="shared" si="127"/>
        <v>0</v>
      </c>
      <c r="J51" s="10"/>
      <c r="K51" s="17">
        <f t="shared" si="96"/>
        <v>0</v>
      </c>
      <c r="L51" s="18"/>
      <c r="M51" s="17">
        <f t="shared" si="97"/>
        <v>0</v>
      </c>
      <c r="N51" s="19"/>
      <c r="O51" s="17">
        <f t="shared" si="98"/>
        <v>0</v>
      </c>
      <c r="P51" s="17">
        <f t="shared" si="99"/>
        <v>0</v>
      </c>
      <c r="Q51" s="18" t="str">
        <f t="shared" si="100"/>
        <v>-</v>
      </c>
      <c r="R51" s="10"/>
      <c r="S51" s="20"/>
      <c r="T51" s="16"/>
      <c r="U51" s="13" t="s">
        <v>35</v>
      </c>
      <c r="V51" s="17" t="str">
        <f t="shared" si="101"/>
        <v>-</v>
      </c>
      <c r="W51" s="17" t="str">
        <f t="shared" si="102"/>
        <v>-</v>
      </c>
      <c r="X51" s="16"/>
      <c r="Y51" s="18" t="str">
        <f t="shared" si="103"/>
        <v>-</v>
      </c>
      <c r="Z51" s="10"/>
      <c r="AA51" s="19"/>
      <c r="AB51" s="13">
        <f t="shared" si="104"/>
        <v>0</v>
      </c>
      <c r="AC51" s="17" t="str">
        <f t="shared" si="105"/>
        <v>-</v>
      </c>
      <c r="AD51" s="10"/>
      <c r="AE51" s="19"/>
      <c r="AF51" s="13">
        <f t="shared" si="106"/>
        <v>0</v>
      </c>
      <c r="AG51" s="17" t="str">
        <f t="shared" si="107"/>
        <v>-</v>
      </c>
      <c r="AH51" s="10"/>
      <c r="AI51" s="19"/>
      <c r="AJ51" s="13">
        <f t="shared" si="108"/>
        <v>0</v>
      </c>
      <c r="AK51" s="17" t="str">
        <f t="shared" si="109"/>
        <v>-</v>
      </c>
      <c r="AL51" s="10"/>
      <c r="AM51" s="18" t="str">
        <f t="shared" si="110"/>
        <v>-</v>
      </c>
      <c r="AN51" s="15"/>
      <c r="AO51" s="17">
        <f t="shared" si="126"/>
        <v>0</v>
      </c>
      <c r="AP51" s="10"/>
    </row>
    <row r="52" spans="1:42" ht="17.25" customHeight="1" x14ac:dyDescent="0.3">
      <c r="A52" s="22"/>
      <c r="B52" s="6" t="s">
        <v>34</v>
      </c>
      <c r="C52" s="9" t="s">
        <v>35</v>
      </c>
      <c r="D52" s="9" t="s">
        <v>35</v>
      </c>
      <c r="E52" s="22"/>
      <c r="F52" s="9" t="s">
        <v>35</v>
      </c>
      <c r="G52" s="6" t="s">
        <v>35</v>
      </c>
      <c r="H52" s="5" t="str">
        <f>IFERROR(K52/I52,"-")</f>
        <v>-</v>
      </c>
      <c r="I52" s="25">
        <f>IFERROR(SUM(I42:I51),"-")</f>
        <v>0</v>
      </c>
      <c r="J52" s="22"/>
      <c r="K52" s="23">
        <f>IFERROR(SUM(K42:K51),"-")</f>
        <v>0</v>
      </c>
      <c r="L52" s="6" t="s">
        <v>35</v>
      </c>
      <c r="M52" s="23">
        <f>IFERROR(SUM(M42:M51),"-")</f>
        <v>0</v>
      </c>
      <c r="N52" s="9" t="s">
        <v>35</v>
      </c>
      <c r="O52" s="23">
        <f>IFERROR(SUM(O42:O51),"-")</f>
        <v>0</v>
      </c>
      <c r="P52" s="23">
        <f t="shared" si="99"/>
        <v>0</v>
      </c>
      <c r="Q52" s="24">
        <v>0</v>
      </c>
      <c r="R52" s="22"/>
      <c r="S52" s="25">
        <f>IFERROR(SUM(S42:S51),"-")</f>
        <v>0</v>
      </c>
      <c r="T52" s="25" t="s">
        <v>35</v>
      </c>
      <c r="U52" s="25" t="s">
        <v>35</v>
      </c>
      <c r="V52" s="23" t="str">
        <f t="shared" si="101"/>
        <v>-</v>
      </c>
      <c r="W52" s="23" t="str">
        <f t="shared" si="102"/>
        <v>-</v>
      </c>
      <c r="X52" s="6" t="s">
        <v>35</v>
      </c>
      <c r="Y52" s="6" t="s">
        <v>35</v>
      </c>
      <c r="Z52" s="22"/>
      <c r="AA52" s="24" t="str">
        <f>IFERROR(AB52/S52,"-")</f>
        <v>-</v>
      </c>
      <c r="AB52" s="25">
        <f>IFERROR(SUM(AB42:AB51),"-")</f>
        <v>0</v>
      </c>
      <c r="AC52" s="23" t="str">
        <f t="shared" si="105"/>
        <v>-</v>
      </c>
      <c r="AD52" s="22"/>
      <c r="AE52" s="24" t="str">
        <f>IFERROR(AF52/AB52,"-")</f>
        <v>-</v>
      </c>
      <c r="AF52" s="25">
        <f>IFERROR(SUM(AF42:AF51),"-")</f>
        <v>0</v>
      </c>
      <c r="AG52" s="23" t="str">
        <f t="shared" si="107"/>
        <v>-</v>
      </c>
      <c r="AH52" s="22"/>
      <c r="AI52" s="24" t="str">
        <f>IFERROR(AJ52/AB52,"-")</f>
        <v>-</v>
      </c>
      <c r="AJ52" s="25">
        <v>0</v>
      </c>
      <c r="AK52" s="23" t="str">
        <f>IFERROR(L52/AJ52,"-")</f>
        <v>-</v>
      </c>
      <c r="AL52" s="22"/>
      <c r="AM52" s="24" t="str">
        <f t="shared" si="110"/>
        <v>-</v>
      </c>
      <c r="AN52" s="23" t="str">
        <f>IFERROR(AO52/AF52,"-")</f>
        <v>-</v>
      </c>
      <c r="AO52" s="23">
        <f>IFERROR(SUM(AO42:AO51),"-")</f>
        <v>0</v>
      </c>
      <c r="AP52" s="22"/>
    </row>
    <row r="53" spans="1:42" ht="15.75" customHeight="1" x14ac:dyDescent="0.3">
      <c r="A53" s="33"/>
      <c r="B53" s="34"/>
      <c r="C53" s="34"/>
      <c r="D53" s="34"/>
      <c r="E53" s="33"/>
      <c r="F53" s="34"/>
      <c r="G53" s="34"/>
      <c r="H53" s="34"/>
      <c r="I53" s="34"/>
      <c r="J53" s="33"/>
      <c r="K53" s="34"/>
      <c r="L53" s="34"/>
      <c r="M53" s="34"/>
      <c r="N53" s="34"/>
      <c r="O53" s="34"/>
      <c r="P53" s="34"/>
      <c r="Q53" s="34"/>
      <c r="R53" s="33"/>
      <c r="S53" s="34"/>
      <c r="T53" s="34"/>
      <c r="U53" s="34"/>
      <c r="V53" s="34"/>
      <c r="W53" s="34"/>
      <c r="X53" s="34"/>
      <c r="Y53" s="34"/>
      <c r="Z53" s="33"/>
      <c r="AA53" s="34"/>
      <c r="AB53" s="34"/>
      <c r="AC53" s="34"/>
      <c r="AD53" s="33"/>
      <c r="AE53" s="34"/>
      <c r="AF53" s="34"/>
      <c r="AG53" s="34"/>
      <c r="AH53" s="33"/>
      <c r="AI53" s="34"/>
      <c r="AJ53" s="34"/>
      <c r="AK53" s="34"/>
      <c r="AL53" s="33"/>
      <c r="AM53" s="34"/>
      <c r="AN53" s="34"/>
      <c r="AO53" s="34"/>
      <c r="AP53" s="33"/>
    </row>
    <row r="54" spans="1:42" ht="51.75" customHeight="1" x14ac:dyDescent="0.3">
      <c r="A54" s="1"/>
      <c r="B54" s="2" t="s">
        <v>0</v>
      </c>
      <c r="C54" s="2" t="s">
        <v>1</v>
      </c>
      <c r="D54" s="2" t="s">
        <v>2</v>
      </c>
      <c r="E54" s="1"/>
      <c r="F54" s="3" t="s">
        <v>3</v>
      </c>
      <c r="G54" s="2" t="s">
        <v>66</v>
      </c>
      <c r="H54" s="2" t="s">
        <v>67</v>
      </c>
      <c r="I54" s="2" t="s">
        <v>68</v>
      </c>
      <c r="J54" s="1"/>
      <c r="K54" s="4" t="s">
        <v>7</v>
      </c>
      <c r="L54" s="3" t="s">
        <v>8</v>
      </c>
      <c r="M54" s="4" t="s">
        <v>9</v>
      </c>
      <c r="N54" s="3" t="s">
        <v>10</v>
      </c>
      <c r="O54" s="5" t="s">
        <v>11</v>
      </c>
      <c r="P54" s="5" t="s">
        <v>12</v>
      </c>
      <c r="Q54" s="4" t="s">
        <v>13</v>
      </c>
      <c r="R54" s="1"/>
      <c r="S54" s="2" t="s">
        <v>14</v>
      </c>
      <c r="T54" s="2" t="s">
        <v>15</v>
      </c>
      <c r="U54" s="2" t="s">
        <v>16</v>
      </c>
      <c r="V54" s="2" t="s">
        <v>17</v>
      </c>
      <c r="W54" s="2" t="s">
        <v>18</v>
      </c>
      <c r="X54" s="2" t="s">
        <v>19</v>
      </c>
      <c r="Y54" s="2" t="s">
        <v>20</v>
      </c>
      <c r="Z54" s="1"/>
      <c r="AA54" s="6" t="s">
        <v>21</v>
      </c>
      <c r="AB54" s="7" t="s">
        <v>22</v>
      </c>
      <c r="AC54" s="7" t="s">
        <v>23</v>
      </c>
      <c r="AD54" s="1"/>
      <c r="AE54" s="6" t="s">
        <v>24</v>
      </c>
      <c r="AF54" s="8" t="s">
        <v>25</v>
      </c>
      <c r="AG54" s="8" t="s">
        <v>26</v>
      </c>
      <c r="AH54" s="1"/>
      <c r="AI54" s="9" t="s">
        <v>27</v>
      </c>
      <c r="AJ54" s="8" t="s">
        <v>28</v>
      </c>
      <c r="AK54" s="8" t="s">
        <v>56</v>
      </c>
      <c r="AL54" s="1"/>
      <c r="AM54" s="9" t="s">
        <v>30</v>
      </c>
      <c r="AN54" s="8" t="s">
        <v>31</v>
      </c>
      <c r="AO54" s="8" t="s">
        <v>32</v>
      </c>
      <c r="AP54" s="1"/>
    </row>
    <row r="55" spans="1:42" ht="30.75" customHeight="1" x14ac:dyDescent="0.3">
      <c r="A55" s="10"/>
      <c r="B55" s="11"/>
      <c r="C55" s="12"/>
      <c r="D55" s="12"/>
      <c r="E55" s="10"/>
      <c r="F55" s="13" t="s">
        <v>74</v>
      </c>
      <c r="G55" s="14" t="s">
        <v>33</v>
      </c>
      <c r="H55" s="15"/>
      <c r="I55" s="16">
        <f>IFERROR(S55*AA55,"-")</f>
        <v>0</v>
      </c>
      <c r="J55" s="10"/>
      <c r="K55" s="17">
        <f t="shared" ref="K55:K64" si="128">IFERROR((H55*I55),"-")</f>
        <v>0</v>
      </c>
      <c r="L55" s="18"/>
      <c r="M55" s="17">
        <f t="shared" ref="M55:M64" si="129">IFERROR(K55*(1-L55),"-")</f>
        <v>0</v>
      </c>
      <c r="N55" s="19"/>
      <c r="O55" s="17">
        <f t="shared" ref="O55:O64" si="130">IFERROR(M55*(1+N55),"-")</f>
        <v>0</v>
      </c>
      <c r="P55" s="17">
        <f t="shared" ref="P55:P65" si="131">IFERROR(O55*1.22,"-")</f>
        <v>0</v>
      </c>
      <c r="Q55" s="18" t="str">
        <f t="shared" ref="Q55:Q64" si="132">IFERROR(P55/$P$13,"-")</f>
        <v>-</v>
      </c>
      <c r="R55" s="10"/>
      <c r="S55" s="20"/>
      <c r="T55" s="16"/>
      <c r="U55" s="13" t="s">
        <v>35</v>
      </c>
      <c r="V55" s="17" t="str">
        <f t="shared" ref="V55:V65" si="133">IFERROR(P55/S55*1000,"-")</f>
        <v>-</v>
      </c>
      <c r="W55" s="17" t="str">
        <f t="shared" ref="W55:W65" si="134">IFERROR(P55/U55*1000,"-")</f>
        <v>-</v>
      </c>
      <c r="X55" s="16"/>
      <c r="Y55" s="18" t="str">
        <f t="shared" ref="Y55:Y64" si="135">IFERROR(U55/X55,"-")</f>
        <v>-</v>
      </c>
      <c r="Z55" s="10"/>
      <c r="AA55" s="19"/>
      <c r="AB55" s="13">
        <f t="shared" ref="AB55:AB64" si="136">IFERROR(ROUNDDOWN(S55*AA55,0),"-")</f>
        <v>0</v>
      </c>
      <c r="AC55" s="17" t="str">
        <f t="shared" ref="AC55:AC65" si="137">IFERROR(P55/AB55,"-")</f>
        <v>-</v>
      </c>
      <c r="AD55" s="10"/>
      <c r="AE55" s="19"/>
      <c r="AF55" s="13">
        <f t="shared" ref="AF55:AF64" si="138">IF(G55="CPI",AJ55*AE55,IFERROR(ROUNDDOWN(AB55*AE55,0),"-"))</f>
        <v>0</v>
      </c>
      <c r="AG55" s="17" t="str">
        <f t="shared" ref="AG55:AG65" si="139">IFERROR(P55/AF55,"-")</f>
        <v>-</v>
      </c>
      <c r="AH55" s="10"/>
      <c r="AI55" s="19"/>
      <c r="AJ55" s="13">
        <f t="shared" ref="AJ55:AJ64" si="140">IF(G55="CPI",I55,0)</f>
        <v>0</v>
      </c>
      <c r="AK55" s="17" t="str">
        <f t="shared" ref="AK55:AK64" si="141">IFERROR(P55/AJ55,"-")</f>
        <v>-</v>
      </c>
      <c r="AL55" s="10"/>
      <c r="AM55" s="18" t="str">
        <f t="shared" ref="AM55:AM65" si="142">IFERROR(P55/AO55,"-")</f>
        <v>-</v>
      </c>
      <c r="AN55" s="15"/>
      <c r="AO55" s="17">
        <f>AN55*AF55</f>
        <v>0</v>
      </c>
      <c r="AP55" s="10"/>
    </row>
    <row r="56" spans="1:42" ht="30.75" customHeight="1" x14ac:dyDescent="0.3">
      <c r="A56" s="10"/>
      <c r="B56" s="11"/>
      <c r="C56" s="12"/>
      <c r="D56" s="12"/>
      <c r="E56" s="10"/>
      <c r="F56" s="13" t="s">
        <v>74</v>
      </c>
      <c r="G56" s="14" t="s">
        <v>33</v>
      </c>
      <c r="H56" s="15"/>
      <c r="I56" s="16">
        <f t="shared" ref="I56:I64" si="143">IFERROR(S56*AA56,"-")</f>
        <v>0</v>
      </c>
      <c r="J56" s="10"/>
      <c r="K56" s="17">
        <f t="shared" si="128"/>
        <v>0</v>
      </c>
      <c r="L56" s="18"/>
      <c r="M56" s="17">
        <f t="shared" si="129"/>
        <v>0</v>
      </c>
      <c r="N56" s="19"/>
      <c r="O56" s="17">
        <f t="shared" si="130"/>
        <v>0</v>
      </c>
      <c r="P56" s="17">
        <f t="shared" si="131"/>
        <v>0</v>
      </c>
      <c r="Q56" s="18" t="str">
        <f t="shared" si="132"/>
        <v>-</v>
      </c>
      <c r="R56" s="10"/>
      <c r="S56" s="20"/>
      <c r="T56" s="16"/>
      <c r="U56" s="13" t="s">
        <v>35</v>
      </c>
      <c r="V56" s="17" t="str">
        <f t="shared" si="133"/>
        <v>-</v>
      </c>
      <c r="W56" s="17" t="str">
        <f t="shared" si="134"/>
        <v>-</v>
      </c>
      <c r="X56" s="16"/>
      <c r="Y56" s="18" t="str">
        <f t="shared" si="135"/>
        <v>-</v>
      </c>
      <c r="Z56" s="10"/>
      <c r="AA56" s="19"/>
      <c r="AB56" s="13">
        <f t="shared" si="136"/>
        <v>0</v>
      </c>
      <c r="AC56" s="17" t="str">
        <f t="shared" si="137"/>
        <v>-</v>
      </c>
      <c r="AD56" s="10"/>
      <c r="AE56" s="19"/>
      <c r="AF56" s="13">
        <f t="shared" si="138"/>
        <v>0</v>
      </c>
      <c r="AG56" s="17" t="str">
        <f t="shared" si="139"/>
        <v>-</v>
      </c>
      <c r="AH56" s="10"/>
      <c r="AI56" s="19"/>
      <c r="AJ56" s="13">
        <f t="shared" si="140"/>
        <v>0</v>
      </c>
      <c r="AK56" s="17" t="str">
        <f t="shared" si="141"/>
        <v>-</v>
      </c>
      <c r="AL56" s="10"/>
      <c r="AM56" s="18" t="str">
        <f t="shared" si="142"/>
        <v>-</v>
      </c>
      <c r="AN56" s="15"/>
      <c r="AO56" s="17">
        <f t="shared" ref="AO56:AO64" si="144">AN56*AF56</f>
        <v>0</v>
      </c>
      <c r="AP56" s="10"/>
    </row>
    <row r="57" spans="1:42" ht="30.75" customHeight="1" x14ac:dyDescent="0.3">
      <c r="A57" s="10"/>
      <c r="B57" s="11"/>
      <c r="C57" s="12"/>
      <c r="D57" s="12"/>
      <c r="E57" s="10"/>
      <c r="F57" s="13" t="s">
        <v>74</v>
      </c>
      <c r="G57" s="14" t="s">
        <v>33</v>
      </c>
      <c r="H57" s="15"/>
      <c r="I57" s="16">
        <f t="shared" ref="I57:I61" si="145">IFERROR(S57*AA57,"-")</f>
        <v>0</v>
      </c>
      <c r="J57" s="10"/>
      <c r="K57" s="17">
        <f t="shared" ref="K57:K61" si="146">IFERROR((H57*I57),"-")</f>
        <v>0</v>
      </c>
      <c r="L57" s="18"/>
      <c r="M57" s="17">
        <f t="shared" ref="M57:M61" si="147">IFERROR(K57*(1-L57),"-")</f>
        <v>0</v>
      </c>
      <c r="N57" s="19"/>
      <c r="O57" s="17">
        <f t="shared" ref="O57:O61" si="148">IFERROR(M57*(1+N57),"-")</f>
        <v>0</v>
      </c>
      <c r="P57" s="17">
        <f t="shared" si="131"/>
        <v>0</v>
      </c>
      <c r="Q57" s="18" t="str">
        <f t="shared" ref="Q57:Q61" si="149">IFERROR(P57/$P$13,"-")</f>
        <v>-</v>
      </c>
      <c r="R57" s="10"/>
      <c r="S57" s="20"/>
      <c r="T57" s="16"/>
      <c r="U57" s="13" t="s">
        <v>35</v>
      </c>
      <c r="V57" s="17" t="str">
        <f t="shared" ref="V57:V61" si="150">IFERROR(P57/S57*1000,"-")</f>
        <v>-</v>
      </c>
      <c r="W57" s="17" t="str">
        <f t="shared" ref="W57:W61" si="151">IFERROR(P57/U57*1000,"-")</f>
        <v>-</v>
      </c>
      <c r="X57" s="16"/>
      <c r="Y57" s="18" t="str">
        <f t="shared" ref="Y57:Y61" si="152">IFERROR(U57/X57,"-")</f>
        <v>-</v>
      </c>
      <c r="Z57" s="10"/>
      <c r="AA57" s="19"/>
      <c r="AB57" s="13">
        <f t="shared" ref="AB57:AB61" si="153">IFERROR(ROUNDDOWN(S57*AA57,0),"-")</f>
        <v>0</v>
      </c>
      <c r="AC57" s="17" t="str">
        <f t="shared" ref="AC57:AC61" si="154">IFERROR(P57/AB57,"-")</f>
        <v>-</v>
      </c>
      <c r="AD57" s="10"/>
      <c r="AE57" s="19"/>
      <c r="AF57" s="13">
        <f t="shared" ref="AF57:AF61" si="155">IF(G57="CPI",AJ57*AE57,IFERROR(ROUNDDOWN(AB57*AE57,0),"-"))</f>
        <v>0</v>
      </c>
      <c r="AG57" s="17" t="str">
        <f t="shared" ref="AG57:AG61" si="156">IFERROR(P57/AF57,"-")</f>
        <v>-</v>
      </c>
      <c r="AH57" s="10"/>
      <c r="AI57" s="19"/>
      <c r="AJ57" s="13">
        <f t="shared" ref="AJ57:AJ61" si="157">IF(G57="CPI",I57,0)</f>
        <v>0</v>
      </c>
      <c r="AK57" s="17" t="str">
        <f t="shared" ref="AK57:AK61" si="158">IFERROR(P57/AJ57,"-")</f>
        <v>-</v>
      </c>
      <c r="AL57" s="10"/>
      <c r="AM57" s="18" t="str">
        <f t="shared" ref="AM57:AM61" si="159">IFERROR(P57/AO57,"-")</f>
        <v>-</v>
      </c>
      <c r="AN57" s="15"/>
      <c r="AO57" s="17">
        <f t="shared" si="144"/>
        <v>0</v>
      </c>
      <c r="AP57" s="10"/>
    </row>
    <row r="58" spans="1:42" ht="30.75" customHeight="1" x14ac:dyDescent="0.3">
      <c r="A58" s="10"/>
      <c r="B58" s="11"/>
      <c r="C58" s="12"/>
      <c r="D58" s="12"/>
      <c r="E58" s="10"/>
      <c r="F58" s="13" t="s">
        <v>74</v>
      </c>
      <c r="G58" s="14" t="s">
        <v>33</v>
      </c>
      <c r="H58" s="15"/>
      <c r="I58" s="16">
        <f t="shared" si="145"/>
        <v>0</v>
      </c>
      <c r="J58" s="10"/>
      <c r="K58" s="17">
        <f t="shared" si="146"/>
        <v>0</v>
      </c>
      <c r="L58" s="18"/>
      <c r="M58" s="17">
        <f t="shared" si="147"/>
        <v>0</v>
      </c>
      <c r="N58" s="19"/>
      <c r="O58" s="17">
        <f t="shared" si="148"/>
        <v>0</v>
      </c>
      <c r="P58" s="17">
        <f t="shared" si="131"/>
        <v>0</v>
      </c>
      <c r="Q58" s="18" t="str">
        <f t="shared" si="149"/>
        <v>-</v>
      </c>
      <c r="R58" s="10"/>
      <c r="S58" s="20"/>
      <c r="T58" s="16"/>
      <c r="U58" s="13" t="s">
        <v>35</v>
      </c>
      <c r="V58" s="17" t="str">
        <f t="shared" si="150"/>
        <v>-</v>
      </c>
      <c r="W58" s="17" t="str">
        <f t="shared" si="151"/>
        <v>-</v>
      </c>
      <c r="X58" s="16"/>
      <c r="Y58" s="18" t="str">
        <f t="shared" si="152"/>
        <v>-</v>
      </c>
      <c r="Z58" s="10"/>
      <c r="AA58" s="19"/>
      <c r="AB58" s="13">
        <f t="shared" si="153"/>
        <v>0</v>
      </c>
      <c r="AC58" s="17" t="str">
        <f t="shared" si="154"/>
        <v>-</v>
      </c>
      <c r="AD58" s="10"/>
      <c r="AE58" s="19"/>
      <c r="AF58" s="13">
        <f t="shared" si="155"/>
        <v>0</v>
      </c>
      <c r="AG58" s="17" t="str">
        <f t="shared" si="156"/>
        <v>-</v>
      </c>
      <c r="AH58" s="10"/>
      <c r="AI58" s="19"/>
      <c r="AJ58" s="13">
        <f t="shared" si="157"/>
        <v>0</v>
      </c>
      <c r="AK58" s="17" t="str">
        <f t="shared" si="158"/>
        <v>-</v>
      </c>
      <c r="AL58" s="10"/>
      <c r="AM58" s="18" t="str">
        <f t="shared" si="159"/>
        <v>-</v>
      </c>
      <c r="AN58" s="15"/>
      <c r="AO58" s="17">
        <f t="shared" si="144"/>
        <v>0</v>
      </c>
      <c r="AP58" s="10"/>
    </row>
    <row r="59" spans="1:42" ht="30.75" customHeight="1" x14ac:dyDescent="0.3">
      <c r="A59" s="10"/>
      <c r="B59" s="11"/>
      <c r="C59" s="12"/>
      <c r="D59" s="12"/>
      <c r="E59" s="10"/>
      <c r="F59" s="13" t="s">
        <v>74</v>
      </c>
      <c r="G59" s="14" t="s">
        <v>33</v>
      </c>
      <c r="H59" s="15"/>
      <c r="I59" s="16">
        <f t="shared" si="145"/>
        <v>0</v>
      </c>
      <c r="J59" s="10"/>
      <c r="K59" s="17">
        <f t="shared" si="146"/>
        <v>0</v>
      </c>
      <c r="L59" s="18"/>
      <c r="M59" s="17">
        <f t="shared" si="147"/>
        <v>0</v>
      </c>
      <c r="N59" s="19"/>
      <c r="O59" s="17">
        <f t="shared" si="148"/>
        <v>0</v>
      </c>
      <c r="P59" s="17">
        <f t="shared" si="131"/>
        <v>0</v>
      </c>
      <c r="Q59" s="18" t="str">
        <f t="shared" si="149"/>
        <v>-</v>
      </c>
      <c r="R59" s="10"/>
      <c r="S59" s="20"/>
      <c r="T59" s="16"/>
      <c r="U59" s="13" t="s">
        <v>35</v>
      </c>
      <c r="V59" s="17" t="str">
        <f t="shared" si="150"/>
        <v>-</v>
      </c>
      <c r="W59" s="17" t="str">
        <f t="shared" si="151"/>
        <v>-</v>
      </c>
      <c r="X59" s="16"/>
      <c r="Y59" s="18" t="str">
        <f t="shared" si="152"/>
        <v>-</v>
      </c>
      <c r="Z59" s="10"/>
      <c r="AA59" s="19"/>
      <c r="AB59" s="13">
        <f t="shared" si="153"/>
        <v>0</v>
      </c>
      <c r="AC59" s="17" t="str">
        <f t="shared" si="154"/>
        <v>-</v>
      </c>
      <c r="AD59" s="10"/>
      <c r="AE59" s="19"/>
      <c r="AF59" s="13">
        <f t="shared" si="155"/>
        <v>0</v>
      </c>
      <c r="AG59" s="17" t="str">
        <f t="shared" si="156"/>
        <v>-</v>
      </c>
      <c r="AH59" s="10"/>
      <c r="AI59" s="19"/>
      <c r="AJ59" s="13">
        <f t="shared" si="157"/>
        <v>0</v>
      </c>
      <c r="AK59" s="17" t="str">
        <f t="shared" si="158"/>
        <v>-</v>
      </c>
      <c r="AL59" s="10"/>
      <c r="AM59" s="18" t="str">
        <f t="shared" si="159"/>
        <v>-</v>
      </c>
      <c r="AN59" s="15"/>
      <c r="AO59" s="17">
        <f t="shared" si="144"/>
        <v>0</v>
      </c>
      <c r="AP59" s="10"/>
    </row>
    <row r="60" spans="1:42" ht="30.75" customHeight="1" x14ac:dyDescent="0.3">
      <c r="A60" s="10"/>
      <c r="B60" s="11"/>
      <c r="C60" s="12"/>
      <c r="D60" s="12"/>
      <c r="E60" s="10"/>
      <c r="F60" s="13" t="s">
        <v>74</v>
      </c>
      <c r="G60" s="14" t="s">
        <v>33</v>
      </c>
      <c r="H60" s="15"/>
      <c r="I60" s="16">
        <f t="shared" si="145"/>
        <v>0</v>
      </c>
      <c r="J60" s="10"/>
      <c r="K60" s="17">
        <f t="shared" si="146"/>
        <v>0</v>
      </c>
      <c r="L60" s="18"/>
      <c r="M60" s="17">
        <f t="shared" si="147"/>
        <v>0</v>
      </c>
      <c r="N60" s="19"/>
      <c r="O60" s="17">
        <f t="shared" si="148"/>
        <v>0</v>
      </c>
      <c r="P60" s="17">
        <f t="shared" si="131"/>
        <v>0</v>
      </c>
      <c r="Q60" s="18" t="str">
        <f t="shared" si="149"/>
        <v>-</v>
      </c>
      <c r="R60" s="10"/>
      <c r="S60" s="20"/>
      <c r="T60" s="16"/>
      <c r="U60" s="13" t="s">
        <v>35</v>
      </c>
      <c r="V60" s="17" t="str">
        <f t="shared" si="150"/>
        <v>-</v>
      </c>
      <c r="W60" s="17" t="str">
        <f t="shared" si="151"/>
        <v>-</v>
      </c>
      <c r="X60" s="16"/>
      <c r="Y60" s="18" t="str">
        <f t="shared" si="152"/>
        <v>-</v>
      </c>
      <c r="Z60" s="10"/>
      <c r="AA60" s="19"/>
      <c r="AB60" s="13">
        <f t="shared" si="153"/>
        <v>0</v>
      </c>
      <c r="AC60" s="17" t="str">
        <f t="shared" si="154"/>
        <v>-</v>
      </c>
      <c r="AD60" s="10"/>
      <c r="AE60" s="19"/>
      <c r="AF60" s="13">
        <f t="shared" si="155"/>
        <v>0</v>
      </c>
      <c r="AG60" s="17" t="str">
        <f t="shared" si="156"/>
        <v>-</v>
      </c>
      <c r="AH60" s="10"/>
      <c r="AI60" s="19"/>
      <c r="AJ60" s="13">
        <f t="shared" si="157"/>
        <v>0</v>
      </c>
      <c r="AK60" s="17" t="str">
        <f t="shared" si="158"/>
        <v>-</v>
      </c>
      <c r="AL60" s="10"/>
      <c r="AM60" s="18" t="str">
        <f t="shared" si="159"/>
        <v>-</v>
      </c>
      <c r="AN60" s="15"/>
      <c r="AO60" s="17">
        <f t="shared" si="144"/>
        <v>0</v>
      </c>
      <c r="AP60" s="10"/>
    </row>
    <row r="61" spans="1:42" ht="30.75" customHeight="1" x14ac:dyDescent="0.3">
      <c r="A61" s="10"/>
      <c r="B61" s="11"/>
      <c r="C61" s="12"/>
      <c r="D61" s="12"/>
      <c r="E61" s="10"/>
      <c r="F61" s="13" t="s">
        <v>74</v>
      </c>
      <c r="G61" s="14" t="s">
        <v>33</v>
      </c>
      <c r="H61" s="15"/>
      <c r="I61" s="16">
        <f t="shared" si="145"/>
        <v>0</v>
      </c>
      <c r="J61" s="10"/>
      <c r="K61" s="17">
        <f t="shared" si="146"/>
        <v>0</v>
      </c>
      <c r="L61" s="18"/>
      <c r="M61" s="17">
        <f t="shared" si="147"/>
        <v>0</v>
      </c>
      <c r="N61" s="19"/>
      <c r="O61" s="17">
        <f t="shared" si="148"/>
        <v>0</v>
      </c>
      <c r="P61" s="17">
        <f t="shared" si="131"/>
        <v>0</v>
      </c>
      <c r="Q61" s="18" t="str">
        <f t="shared" si="149"/>
        <v>-</v>
      </c>
      <c r="R61" s="10"/>
      <c r="S61" s="20"/>
      <c r="T61" s="16"/>
      <c r="U61" s="13" t="s">
        <v>35</v>
      </c>
      <c r="V61" s="17" t="str">
        <f t="shared" si="150"/>
        <v>-</v>
      </c>
      <c r="W61" s="17" t="str">
        <f t="shared" si="151"/>
        <v>-</v>
      </c>
      <c r="X61" s="16"/>
      <c r="Y61" s="18" t="str">
        <f t="shared" si="152"/>
        <v>-</v>
      </c>
      <c r="Z61" s="10"/>
      <c r="AA61" s="19"/>
      <c r="AB61" s="13">
        <f t="shared" si="153"/>
        <v>0</v>
      </c>
      <c r="AC61" s="17" t="str">
        <f t="shared" si="154"/>
        <v>-</v>
      </c>
      <c r="AD61" s="10"/>
      <c r="AE61" s="19"/>
      <c r="AF61" s="13">
        <f t="shared" si="155"/>
        <v>0</v>
      </c>
      <c r="AG61" s="17" t="str">
        <f t="shared" si="156"/>
        <v>-</v>
      </c>
      <c r="AH61" s="10"/>
      <c r="AI61" s="19"/>
      <c r="AJ61" s="13">
        <f t="shared" si="157"/>
        <v>0</v>
      </c>
      <c r="AK61" s="17" t="str">
        <f t="shared" si="158"/>
        <v>-</v>
      </c>
      <c r="AL61" s="10"/>
      <c r="AM61" s="18" t="str">
        <f t="shared" si="159"/>
        <v>-</v>
      </c>
      <c r="AN61" s="15"/>
      <c r="AO61" s="17">
        <f t="shared" si="144"/>
        <v>0</v>
      </c>
      <c r="AP61" s="10"/>
    </row>
    <row r="62" spans="1:42" ht="30.75" customHeight="1" x14ac:dyDescent="0.3">
      <c r="A62" s="10"/>
      <c r="B62" s="11"/>
      <c r="C62" s="12"/>
      <c r="D62" s="12"/>
      <c r="E62" s="10"/>
      <c r="F62" s="13" t="s">
        <v>74</v>
      </c>
      <c r="G62" s="14" t="s">
        <v>33</v>
      </c>
      <c r="H62" s="15"/>
      <c r="I62" s="16">
        <f t="shared" si="143"/>
        <v>0</v>
      </c>
      <c r="J62" s="10"/>
      <c r="K62" s="17">
        <f t="shared" si="128"/>
        <v>0</v>
      </c>
      <c r="L62" s="18"/>
      <c r="M62" s="17">
        <f t="shared" si="129"/>
        <v>0</v>
      </c>
      <c r="N62" s="19"/>
      <c r="O62" s="17">
        <f t="shared" si="130"/>
        <v>0</v>
      </c>
      <c r="P62" s="17">
        <f t="shared" si="131"/>
        <v>0</v>
      </c>
      <c r="Q62" s="18" t="str">
        <f t="shared" si="132"/>
        <v>-</v>
      </c>
      <c r="R62" s="10"/>
      <c r="S62" s="20"/>
      <c r="T62" s="16"/>
      <c r="U62" s="13" t="s">
        <v>35</v>
      </c>
      <c r="V62" s="17" t="str">
        <f t="shared" si="133"/>
        <v>-</v>
      </c>
      <c r="W62" s="17" t="str">
        <f t="shared" si="134"/>
        <v>-</v>
      </c>
      <c r="X62" s="16"/>
      <c r="Y62" s="18" t="str">
        <f t="shared" si="135"/>
        <v>-</v>
      </c>
      <c r="Z62" s="10"/>
      <c r="AA62" s="19"/>
      <c r="AB62" s="13">
        <f t="shared" si="136"/>
        <v>0</v>
      </c>
      <c r="AC62" s="17" t="str">
        <f t="shared" si="137"/>
        <v>-</v>
      </c>
      <c r="AD62" s="10"/>
      <c r="AE62" s="19"/>
      <c r="AF62" s="13">
        <f t="shared" si="138"/>
        <v>0</v>
      </c>
      <c r="AG62" s="17" t="str">
        <f t="shared" si="139"/>
        <v>-</v>
      </c>
      <c r="AH62" s="10"/>
      <c r="AI62" s="19"/>
      <c r="AJ62" s="13">
        <f t="shared" si="140"/>
        <v>0</v>
      </c>
      <c r="AK62" s="17" t="str">
        <f t="shared" si="141"/>
        <v>-</v>
      </c>
      <c r="AL62" s="10"/>
      <c r="AM62" s="18" t="str">
        <f t="shared" si="142"/>
        <v>-</v>
      </c>
      <c r="AN62" s="15"/>
      <c r="AO62" s="17">
        <f t="shared" si="144"/>
        <v>0</v>
      </c>
      <c r="AP62" s="10"/>
    </row>
    <row r="63" spans="1:42" ht="30.75" customHeight="1" x14ac:dyDescent="0.3">
      <c r="A63" s="10"/>
      <c r="B63" s="11"/>
      <c r="C63" s="12"/>
      <c r="D63" s="12"/>
      <c r="E63" s="10"/>
      <c r="F63" s="13" t="s">
        <v>74</v>
      </c>
      <c r="G63" s="14" t="s">
        <v>33</v>
      </c>
      <c r="H63" s="15"/>
      <c r="I63" s="16">
        <f t="shared" si="143"/>
        <v>0</v>
      </c>
      <c r="J63" s="10"/>
      <c r="K63" s="17">
        <f t="shared" si="128"/>
        <v>0</v>
      </c>
      <c r="L63" s="18"/>
      <c r="M63" s="17">
        <f t="shared" si="129"/>
        <v>0</v>
      </c>
      <c r="N63" s="19"/>
      <c r="O63" s="17">
        <f t="shared" si="130"/>
        <v>0</v>
      </c>
      <c r="P63" s="17">
        <f t="shared" si="131"/>
        <v>0</v>
      </c>
      <c r="Q63" s="18" t="str">
        <f t="shared" si="132"/>
        <v>-</v>
      </c>
      <c r="R63" s="10"/>
      <c r="S63" s="20"/>
      <c r="T63" s="16"/>
      <c r="U63" s="13" t="s">
        <v>35</v>
      </c>
      <c r="V63" s="17" t="str">
        <f t="shared" si="133"/>
        <v>-</v>
      </c>
      <c r="W63" s="17" t="str">
        <f t="shared" si="134"/>
        <v>-</v>
      </c>
      <c r="X63" s="16"/>
      <c r="Y63" s="18" t="str">
        <f t="shared" si="135"/>
        <v>-</v>
      </c>
      <c r="Z63" s="10"/>
      <c r="AA63" s="19"/>
      <c r="AB63" s="13">
        <f t="shared" si="136"/>
        <v>0</v>
      </c>
      <c r="AC63" s="17" t="str">
        <f t="shared" si="137"/>
        <v>-</v>
      </c>
      <c r="AD63" s="10"/>
      <c r="AE63" s="19"/>
      <c r="AF63" s="13">
        <f t="shared" si="138"/>
        <v>0</v>
      </c>
      <c r="AG63" s="17" t="str">
        <f t="shared" si="139"/>
        <v>-</v>
      </c>
      <c r="AH63" s="10"/>
      <c r="AI63" s="19"/>
      <c r="AJ63" s="13">
        <f t="shared" si="140"/>
        <v>0</v>
      </c>
      <c r="AK63" s="17" t="str">
        <f t="shared" si="141"/>
        <v>-</v>
      </c>
      <c r="AL63" s="10"/>
      <c r="AM63" s="18" t="str">
        <f t="shared" si="142"/>
        <v>-</v>
      </c>
      <c r="AN63" s="15"/>
      <c r="AO63" s="17">
        <f t="shared" si="144"/>
        <v>0</v>
      </c>
      <c r="AP63" s="10"/>
    </row>
    <row r="64" spans="1:42" ht="30.75" customHeight="1" x14ac:dyDescent="0.3">
      <c r="A64" s="10"/>
      <c r="B64" s="11"/>
      <c r="C64" s="12"/>
      <c r="D64" s="12"/>
      <c r="E64" s="10"/>
      <c r="F64" s="13" t="s">
        <v>74</v>
      </c>
      <c r="G64" s="14" t="s">
        <v>33</v>
      </c>
      <c r="H64" s="15"/>
      <c r="I64" s="16">
        <f t="shared" si="143"/>
        <v>0</v>
      </c>
      <c r="J64" s="10"/>
      <c r="K64" s="17">
        <f t="shared" si="128"/>
        <v>0</v>
      </c>
      <c r="L64" s="18"/>
      <c r="M64" s="17">
        <f t="shared" si="129"/>
        <v>0</v>
      </c>
      <c r="N64" s="19"/>
      <c r="O64" s="17">
        <f t="shared" si="130"/>
        <v>0</v>
      </c>
      <c r="P64" s="17">
        <f t="shared" si="131"/>
        <v>0</v>
      </c>
      <c r="Q64" s="18" t="str">
        <f t="shared" si="132"/>
        <v>-</v>
      </c>
      <c r="R64" s="10"/>
      <c r="S64" s="20"/>
      <c r="T64" s="16"/>
      <c r="U64" s="13" t="s">
        <v>35</v>
      </c>
      <c r="V64" s="17" t="str">
        <f t="shared" si="133"/>
        <v>-</v>
      </c>
      <c r="W64" s="17" t="str">
        <f t="shared" si="134"/>
        <v>-</v>
      </c>
      <c r="X64" s="16"/>
      <c r="Y64" s="18" t="str">
        <f t="shared" si="135"/>
        <v>-</v>
      </c>
      <c r="Z64" s="10"/>
      <c r="AA64" s="19"/>
      <c r="AB64" s="13">
        <f t="shared" si="136"/>
        <v>0</v>
      </c>
      <c r="AC64" s="17" t="str">
        <f t="shared" si="137"/>
        <v>-</v>
      </c>
      <c r="AD64" s="10"/>
      <c r="AE64" s="19"/>
      <c r="AF64" s="13">
        <f t="shared" si="138"/>
        <v>0</v>
      </c>
      <c r="AG64" s="17" t="str">
        <f t="shared" si="139"/>
        <v>-</v>
      </c>
      <c r="AH64" s="10"/>
      <c r="AI64" s="19"/>
      <c r="AJ64" s="13">
        <f t="shared" si="140"/>
        <v>0</v>
      </c>
      <c r="AK64" s="17" t="str">
        <f t="shared" si="141"/>
        <v>-</v>
      </c>
      <c r="AL64" s="10"/>
      <c r="AM64" s="18" t="str">
        <f t="shared" si="142"/>
        <v>-</v>
      </c>
      <c r="AN64" s="15"/>
      <c r="AO64" s="17">
        <f t="shared" si="144"/>
        <v>0</v>
      </c>
      <c r="AP64" s="10"/>
    </row>
    <row r="65" spans="1:42" ht="17.25" customHeight="1" x14ac:dyDescent="0.3">
      <c r="A65" s="22"/>
      <c r="B65" s="6" t="s">
        <v>34</v>
      </c>
      <c r="C65" s="9" t="s">
        <v>35</v>
      </c>
      <c r="D65" s="9" t="s">
        <v>35</v>
      </c>
      <c r="E65" s="22"/>
      <c r="F65" s="9" t="s">
        <v>35</v>
      </c>
      <c r="G65" s="6" t="s">
        <v>35</v>
      </c>
      <c r="H65" s="5" t="str">
        <f>IFERROR(K65/I65,"-")</f>
        <v>-</v>
      </c>
      <c r="I65" s="25">
        <f>IFERROR(SUM(I55:I64),"-")</f>
        <v>0</v>
      </c>
      <c r="J65" s="22"/>
      <c r="K65" s="23">
        <f>IFERROR(SUM(K55:K64),"-")</f>
        <v>0</v>
      </c>
      <c r="L65" s="6" t="s">
        <v>35</v>
      </c>
      <c r="M65" s="23">
        <f>IFERROR(SUM(M55:M64),"-")</f>
        <v>0</v>
      </c>
      <c r="N65" s="9" t="s">
        <v>35</v>
      </c>
      <c r="O65" s="23">
        <f>IFERROR(SUM(O55:O64),"-")</f>
        <v>0</v>
      </c>
      <c r="P65" s="23">
        <f t="shared" si="131"/>
        <v>0</v>
      </c>
      <c r="Q65" s="24">
        <v>0</v>
      </c>
      <c r="R65" s="22"/>
      <c r="S65" s="25">
        <f>IFERROR(SUM(S55:S64),"-")</f>
        <v>0</v>
      </c>
      <c r="T65" s="25" t="s">
        <v>35</v>
      </c>
      <c r="U65" s="25" t="s">
        <v>35</v>
      </c>
      <c r="V65" s="23" t="str">
        <f t="shared" si="133"/>
        <v>-</v>
      </c>
      <c r="W65" s="23" t="str">
        <f t="shared" si="134"/>
        <v>-</v>
      </c>
      <c r="X65" s="6" t="s">
        <v>35</v>
      </c>
      <c r="Y65" s="6" t="s">
        <v>35</v>
      </c>
      <c r="Z65" s="22"/>
      <c r="AA65" s="24" t="str">
        <f>IFERROR(AB65/S65,"-")</f>
        <v>-</v>
      </c>
      <c r="AB65" s="25">
        <f>IFERROR(SUM(AB55:AB64),"-")</f>
        <v>0</v>
      </c>
      <c r="AC65" s="23" t="str">
        <f t="shared" si="137"/>
        <v>-</v>
      </c>
      <c r="AD65" s="22"/>
      <c r="AE65" s="24" t="str">
        <f>IFERROR(AF65/AB65,"-")</f>
        <v>-</v>
      </c>
      <c r="AF65" s="25">
        <f>IFERROR(SUM(AF55:AF64),"-")</f>
        <v>0</v>
      </c>
      <c r="AG65" s="23" t="str">
        <f t="shared" si="139"/>
        <v>-</v>
      </c>
      <c r="AH65" s="22"/>
      <c r="AI65" s="24" t="str">
        <f>IFERROR(AJ65/AB65,"-")</f>
        <v>-</v>
      </c>
      <c r="AJ65" s="25">
        <v>0</v>
      </c>
      <c r="AK65" s="23" t="str">
        <f>IFERROR(L65/AJ65,"-")</f>
        <v>-</v>
      </c>
      <c r="AL65" s="22"/>
      <c r="AM65" s="24" t="str">
        <f t="shared" si="142"/>
        <v>-</v>
      </c>
      <c r="AN65" s="23" t="str">
        <f>IFERROR(AO65/AF65,"-")</f>
        <v>-</v>
      </c>
      <c r="AO65" s="23">
        <f>IFERROR(SUM(AO55:AO64),"-")</f>
        <v>0</v>
      </c>
      <c r="AP65" s="22"/>
    </row>
    <row r="66" spans="1:42" ht="15.75" customHeight="1" x14ac:dyDescent="0.3">
      <c r="A66" s="33"/>
      <c r="B66" s="34"/>
      <c r="C66" s="34"/>
      <c r="D66" s="34"/>
      <c r="E66" s="33"/>
      <c r="F66" s="34"/>
      <c r="G66" s="34"/>
      <c r="H66" s="34"/>
      <c r="I66" s="34"/>
      <c r="J66" s="33"/>
      <c r="K66" s="34"/>
      <c r="L66" s="34"/>
      <c r="M66" s="34"/>
      <c r="N66" s="34"/>
      <c r="O66" s="34"/>
      <c r="P66" s="34"/>
      <c r="Q66" s="34"/>
      <c r="R66" s="33"/>
      <c r="S66" s="34"/>
      <c r="T66" s="34"/>
      <c r="U66" s="34"/>
      <c r="V66" s="34"/>
      <c r="W66" s="34"/>
      <c r="X66" s="34"/>
      <c r="Y66" s="34"/>
      <c r="Z66" s="33"/>
      <c r="AA66" s="34"/>
      <c r="AB66" s="34"/>
      <c r="AC66" s="34"/>
      <c r="AD66" s="33"/>
      <c r="AE66" s="34"/>
      <c r="AF66" s="34"/>
      <c r="AG66" s="34"/>
      <c r="AH66" s="33"/>
      <c r="AI66" s="34"/>
      <c r="AJ66" s="34"/>
      <c r="AK66" s="34"/>
      <c r="AL66" s="33"/>
      <c r="AM66" s="34"/>
      <c r="AN66" s="34"/>
      <c r="AO66" s="34"/>
      <c r="AP66" s="33"/>
    </row>
    <row r="67" spans="1:42" ht="51.75" customHeight="1" x14ac:dyDescent="0.3">
      <c r="A67" s="1"/>
      <c r="B67" s="2" t="s">
        <v>0</v>
      </c>
      <c r="C67" s="2" t="s">
        <v>1</v>
      </c>
      <c r="D67" s="2" t="s">
        <v>2</v>
      </c>
      <c r="E67" s="1"/>
      <c r="F67" s="3" t="s">
        <v>3</v>
      </c>
      <c r="G67" s="2" t="s">
        <v>66</v>
      </c>
      <c r="H67" s="2" t="s">
        <v>67</v>
      </c>
      <c r="I67" s="2" t="s">
        <v>68</v>
      </c>
      <c r="J67" s="1"/>
      <c r="K67" s="4" t="s">
        <v>7</v>
      </c>
      <c r="L67" s="3" t="s">
        <v>8</v>
      </c>
      <c r="M67" s="4" t="s">
        <v>9</v>
      </c>
      <c r="N67" s="3" t="s">
        <v>10</v>
      </c>
      <c r="O67" s="5" t="s">
        <v>11</v>
      </c>
      <c r="P67" s="5" t="s">
        <v>12</v>
      </c>
      <c r="Q67" s="4" t="s">
        <v>13</v>
      </c>
      <c r="R67" s="1"/>
      <c r="S67" s="2" t="s">
        <v>14</v>
      </c>
      <c r="T67" s="2" t="s">
        <v>15</v>
      </c>
      <c r="U67" s="2" t="s">
        <v>16</v>
      </c>
      <c r="V67" s="2" t="s">
        <v>17</v>
      </c>
      <c r="W67" s="2" t="s">
        <v>18</v>
      </c>
      <c r="X67" s="2" t="s">
        <v>19</v>
      </c>
      <c r="Y67" s="2" t="s">
        <v>20</v>
      </c>
      <c r="Z67" s="1"/>
      <c r="AA67" s="6" t="s">
        <v>21</v>
      </c>
      <c r="AB67" s="7" t="s">
        <v>22</v>
      </c>
      <c r="AC67" s="7" t="s">
        <v>23</v>
      </c>
      <c r="AD67" s="1"/>
      <c r="AE67" s="6" t="s">
        <v>24</v>
      </c>
      <c r="AF67" s="8" t="s">
        <v>25</v>
      </c>
      <c r="AG67" s="8" t="s">
        <v>26</v>
      </c>
      <c r="AH67" s="1"/>
      <c r="AI67" s="9" t="s">
        <v>27</v>
      </c>
      <c r="AJ67" s="8" t="s">
        <v>28</v>
      </c>
      <c r="AK67" s="8" t="s">
        <v>56</v>
      </c>
      <c r="AL67" s="1"/>
      <c r="AM67" s="9" t="s">
        <v>30</v>
      </c>
      <c r="AN67" s="8" t="s">
        <v>31</v>
      </c>
      <c r="AO67" s="8" t="s">
        <v>32</v>
      </c>
      <c r="AP67" s="1"/>
    </row>
    <row r="68" spans="1:42" ht="30.75" customHeight="1" x14ac:dyDescent="0.3">
      <c r="A68" s="10"/>
      <c r="B68" s="11"/>
      <c r="C68" s="12"/>
      <c r="D68" s="12"/>
      <c r="E68" s="10"/>
      <c r="F68" s="13" t="s">
        <v>75</v>
      </c>
      <c r="G68" s="14" t="s">
        <v>33</v>
      </c>
      <c r="H68" s="15"/>
      <c r="I68" s="16">
        <f>IFERROR(S68*AA68,"-")</f>
        <v>0</v>
      </c>
      <c r="J68" s="10"/>
      <c r="K68" s="17">
        <f t="shared" ref="K68:K77" si="160">IFERROR((H68*I68),"-")</f>
        <v>0</v>
      </c>
      <c r="L68" s="18"/>
      <c r="M68" s="17">
        <f t="shared" ref="M68:M77" si="161">IFERROR(K68*(1-L68),"-")</f>
        <v>0</v>
      </c>
      <c r="N68" s="19"/>
      <c r="O68" s="17">
        <f t="shared" ref="O68:O77" si="162">IFERROR(M68*(1+N68),"-")</f>
        <v>0</v>
      </c>
      <c r="P68" s="17">
        <f t="shared" ref="P68:P78" si="163">IFERROR(O68*1.22,"-")</f>
        <v>0</v>
      </c>
      <c r="Q68" s="18" t="str">
        <f t="shared" ref="Q68:Q77" si="164">IFERROR(P68/$P$13,"-")</f>
        <v>-</v>
      </c>
      <c r="R68" s="10"/>
      <c r="S68" s="20"/>
      <c r="T68" s="16"/>
      <c r="U68" s="13" t="s">
        <v>35</v>
      </c>
      <c r="V68" s="17" t="str">
        <f t="shared" ref="V68:V78" si="165">IFERROR(P68/S68*1000,"-")</f>
        <v>-</v>
      </c>
      <c r="W68" s="17" t="str">
        <f t="shared" ref="W68:W78" si="166">IFERROR(P68/U68*1000,"-")</f>
        <v>-</v>
      </c>
      <c r="X68" s="16"/>
      <c r="Y68" s="18" t="str">
        <f t="shared" ref="Y68:Y77" si="167">IFERROR(U68/X68,"-")</f>
        <v>-</v>
      </c>
      <c r="Z68" s="10"/>
      <c r="AA68" s="19"/>
      <c r="AB68" s="13">
        <f t="shared" ref="AB68:AB77" si="168">IFERROR(ROUNDDOWN(S68*AA68,0),"-")</f>
        <v>0</v>
      </c>
      <c r="AC68" s="17" t="str">
        <f t="shared" ref="AC68:AC78" si="169">IFERROR(P68/AB68,"-")</f>
        <v>-</v>
      </c>
      <c r="AD68" s="10"/>
      <c r="AE68" s="19"/>
      <c r="AF68" s="13">
        <f t="shared" ref="AF68:AF77" si="170">IF(G68="CPI",AJ68*AE68,IFERROR(ROUNDDOWN(AB68*AE68,0),"-"))</f>
        <v>0</v>
      </c>
      <c r="AG68" s="17" t="str">
        <f t="shared" ref="AG68:AG78" si="171">IFERROR(P68/AF68,"-")</f>
        <v>-</v>
      </c>
      <c r="AH68" s="10"/>
      <c r="AI68" s="19"/>
      <c r="AJ68" s="13">
        <f t="shared" ref="AJ68:AJ77" si="172">IF(G68="CPI",I68,0)</f>
        <v>0</v>
      </c>
      <c r="AK68" s="17" t="str">
        <f t="shared" ref="AK68:AK77" si="173">IFERROR(P68/AJ68,"-")</f>
        <v>-</v>
      </c>
      <c r="AL68" s="10"/>
      <c r="AM68" s="18" t="str">
        <f t="shared" ref="AM68:AM78" si="174">IFERROR(P68/AO68,"-")</f>
        <v>-</v>
      </c>
      <c r="AN68" s="15"/>
      <c r="AO68" s="17">
        <f>AN68*AF68</f>
        <v>0</v>
      </c>
      <c r="AP68" s="10"/>
    </row>
    <row r="69" spans="1:42" ht="30.75" customHeight="1" x14ac:dyDescent="0.3">
      <c r="A69" s="10"/>
      <c r="B69" s="11"/>
      <c r="C69" s="12"/>
      <c r="D69" s="12"/>
      <c r="E69" s="10"/>
      <c r="F69" s="13" t="s">
        <v>75</v>
      </c>
      <c r="G69" s="14" t="s">
        <v>33</v>
      </c>
      <c r="H69" s="15"/>
      <c r="I69" s="16">
        <f t="shared" ref="I69:I77" si="175">IFERROR(S69*AA69,"-")</f>
        <v>0</v>
      </c>
      <c r="J69" s="10"/>
      <c r="K69" s="17">
        <f t="shared" si="160"/>
        <v>0</v>
      </c>
      <c r="L69" s="18"/>
      <c r="M69" s="17">
        <f t="shared" si="161"/>
        <v>0</v>
      </c>
      <c r="N69" s="19"/>
      <c r="O69" s="17">
        <f t="shared" si="162"/>
        <v>0</v>
      </c>
      <c r="P69" s="17">
        <f t="shared" si="163"/>
        <v>0</v>
      </c>
      <c r="Q69" s="18" t="str">
        <f t="shared" si="164"/>
        <v>-</v>
      </c>
      <c r="R69" s="10"/>
      <c r="S69" s="20"/>
      <c r="T69" s="16"/>
      <c r="U69" s="13" t="s">
        <v>35</v>
      </c>
      <c r="V69" s="17" t="str">
        <f t="shared" si="165"/>
        <v>-</v>
      </c>
      <c r="W69" s="17" t="str">
        <f t="shared" si="166"/>
        <v>-</v>
      </c>
      <c r="X69" s="16"/>
      <c r="Y69" s="18" t="str">
        <f t="shared" si="167"/>
        <v>-</v>
      </c>
      <c r="Z69" s="10"/>
      <c r="AA69" s="19"/>
      <c r="AB69" s="13">
        <f t="shared" si="168"/>
        <v>0</v>
      </c>
      <c r="AC69" s="17" t="str">
        <f t="shared" si="169"/>
        <v>-</v>
      </c>
      <c r="AD69" s="10"/>
      <c r="AE69" s="19"/>
      <c r="AF69" s="13">
        <f t="shared" si="170"/>
        <v>0</v>
      </c>
      <c r="AG69" s="17" t="str">
        <f t="shared" si="171"/>
        <v>-</v>
      </c>
      <c r="AH69" s="10"/>
      <c r="AI69" s="19"/>
      <c r="AJ69" s="13">
        <f t="shared" si="172"/>
        <v>0</v>
      </c>
      <c r="AK69" s="17" t="str">
        <f t="shared" si="173"/>
        <v>-</v>
      </c>
      <c r="AL69" s="10"/>
      <c r="AM69" s="18" t="str">
        <f t="shared" si="174"/>
        <v>-</v>
      </c>
      <c r="AN69" s="15"/>
      <c r="AO69" s="17">
        <f t="shared" ref="AO69:AO77" si="176">AN69*AF69</f>
        <v>0</v>
      </c>
      <c r="AP69" s="10"/>
    </row>
    <row r="70" spans="1:42" ht="30.75" customHeight="1" x14ac:dyDescent="0.3">
      <c r="A70" s="10"/>
      <c r="B70" s="11"/>
      <c r="C70" s="12"/>
      <c r="D70" s="12"/>
      <c r="E70" s="10"/>
      <c r="F70" s="13" t="s">
        <v>75</v>
      </c>
      <c r="G70" s="14" t="s">
        <v>33</v>
      </c>
      <c r="H70" s="15"/>
      <c r="I70" s="16">
        <f t="shared" ref="I70:I74" si="177">IFERROR(S70*AA70,"-")</f>
        <v>0</v>
      </c>
      <c r="J70" s="10"/>
      <c r="K70" s="17">
        <f t="shared" ref="K70:K74" si="178">IFERROR((H70*I70),"-")</f>
        <v>0</v>
      </c>
      <c r="L70" s="18"/>
      <c r="M70" s="17">
        <f t="shared" ref="M70:M74" si="179">IFERROR(K70*(1-L70),"-")</f>
        <v>0</v>
      </c>
      <c r="N70" s="19"/>
      <c r="O70" s="17">
        <f t="shared" ref="O70:O74" si="180">IFERROR(M70*(1+N70),"-")</f>
        <v>0</v>
      </c>
      <c r="P70" s="17">
        <f t="shared" si="163"/>
        <v>0</v>
      </c>
      <c r="Q70" s="18" t="str">
        <f t="shared" ref="Q70:Q74" si="181">IFERROR(P70/$P$13,"-")</f>
        <v>-</v>
      </c>
      <c r="R70" s="10"/>
      <c r="S70" s="20"/>
      <c r="T70" s="16"/>
      <c r="U70" s="13" t="s">
        <v>35</v>
      </c>
      <c r="V70" s="17" t="str">
        <f t="shared" ref="V70:V74" si="182">IFERROR(P70/S70*1000,"-")</f>
        <v>-</v>
      </c>
      <c r="W70" s="17" t="str">
        <f t="shared" ref="W70:W74" si="183">IFERROR(P70/U70*1000,"-")</f>
        <v>-</v>
      </c>
      <c r="X70" s="16"/>
      <c r="Y70" s="18" t="str">
        <f t="shared" ref="Y70:Y74" si="184">IFERROR(U70/X70,"-")</f>
        <v>-</v>
      </c>
      <c r="Z70" s="10"/>
      <c r="AA70" s="19"/>
      <c r="AB70" s="13">
        <f t="shared" ref="AB70:AB74" si="185">IFERROR(ROUNDDOWN(S70*AA70,0),"-")</f>
        <v>0</v>
      </c>
      <c r="AC70" s="17" t="str">
        <f t="shared" ref="AC70:AC74" si="186">IFERROR(P70/AB70,"-")</f>
        <v>-</v>
      </c>
      <c r="AD70" s="10"/>
      <c r="AE70" s="19"/>
      <c r="AF70" s="13">
        <f t="shared" ref="AF70:AF74" si="187">IF(G70="CPI",AJ70*AE70,IFERROR(ROUNDDOWN(AB70*AE70,0),"-"))</f>
        <v>0</v>
      </c>
      <c r="AG70" s="17" t="str">
        <f t="shared" ref="AG70:AG74" si="188">IFERROR(P70/AF70,"-")</f>
        <v>-</v>
      </c>
      <c r="AH70" s="10"/>
      <c r="AI70" s="19"/>
      <c r="AJ70" s="13">
        <f t="shared" ref="AJ70:AJ74" si="189">IF(G70="CPI",I70,0)</f>
        <v>0</v>
      </c>
      <c r="AK70" s="17" t="str">
        <f t="shared" ref="AK70:AK74" si="190">IFERROR(P70/AJ70,"-")</f>
        <v>-</v>
      </c>
      <c r="AL70" s="10"/>
      <c r="AM70" s="18" t="str">
        <f t="shared" ref="AM70:AM74" si="191">IFERROR(P70/AO70,"-")</f>
        <v>-</v>
      </c>
      <c r="AN70" s="15"/>
      <c r="AO70" s="17">
        <f t="shared" si="176"/>
        <v>0</v>
      </c>
      <c r="AP70" s="10"/>
    </row>
    <row r="71" spans="1:42" ht="30.75" customHeight="1" x14ac:dyDescent="0.3">
      <c r="A71" s="10"/>
      <c r="B71" s="11"/>
      <c r="C71" s="12"/>
      <c r="D71" s="12"/>
      <c r="E71" s="10"/>
      <c r="F71" s="13" t="s">
        <v>75</v>
      </c>
      <c r="G71" s="14" t="s">
        <v>33</v>
      </c>
      <c r="H71" s="15"/>
      <c r="I71" s="16">
        <f t="shared" si="177"/>
        <v>0</v>
      </c>
      <c r="J71" s="10"/>
      <c r="K71" s="17">
        <f t="shared" si="178"/>
        <v>0</v>
      </c>
      <c r="L71" s="18"/>
      <c r="M71" s="17">
        <f t="shared" si="179"/>
        <v>0</v>
      </c>
      <c r="N71" s="19"/>
      <c r="O71" s="17">
        <f t="shared" si="180"/>
        <v>0</v>
      </c>
      <c r="P71" s="17">
        <f t="shared" si="163"/>
        <v>0</v>
      </c>
      <c r="Q71" s="18" t="str">
        <f t="shared" si="181"/>
        <v>-</v>
      </c>
      <c r="R71" s="10"/>
      <c r="S71" s="20"/>
      <c r="T71" s="16"/>
      <c r="U71" s="13" t="s">
        <v>35</v>
      </c>
      <c r="V71" s="17" t="str">
        <f t="shared" si="182"/>
        <v>-</v>
      </c>
      <c r="W71" s="17" t="str">
        <f t="shared" si="183"/>
        <v>-</v>
      </c>
      <c r="X71" s="16"/>
      <c r="Y71" s="18" t="str">
        <f t="shared" si="184"/>
        <v>-</v>
      </c>
      <c r="Z71" s="10"/>
      <c r="AA71" s="19"/>
      <c r="AB71" s="13">
        <f t="shared" si="185"/>
        <v>0</v>
      </c>
      <c r="AC71" s="17" t="str">
        <f t="shared" si="186"/>
        <v>-</v>
      </c>
      <c r="AD71" s="10"/>
      <c r="AE71" s="19"/>
      <c r="AF71" s="13">
        <f t="shared" si="187"/>
        <v>0</v>
      </c>
      <c r="AG71" s="17" t="str">
        <f t="shared" si="188"/>
        <v>-</v>
      </c>
      <c r="AH71" s="10"/>
      <c r="AI71" s="19"/>
      <c r="AJ71" s="13">
        <f t="shared" si="189"/>
        <v>0</v>
      </c>
      <c r="AK71" s="17" t="str">
        <f t="shared" si="190"/>
        <v>-</v>
      </c>
      <c r="AL71" s="10"/>
      <c r="AM71" s="18" t="str">
        <f t="shared" si="191"/>
        <v>-</v>
      </c>
      <c r="AN71" s="15"/>
      <c r="AO71" s="17">
        <f t="shared" si="176"/>
        <v>0</v>
      </c>
      <c r="AP71" s="10"/>
    </row>
    <row r="72" spans="1:42" ht="30.75" customHeight="1" x14ac:dyDescent="0.3">
      <c r="A72" s="10"/>
      <c r="B72" s="11"/>
      <c r="C72" s="12"/>
      <c r="D72" s="12"/>
      <c r="E72" s="10"/>
      <c r="F72" s="13" t="s">
        <v>75</v>
      </c>
      <c r="G72" s="14" t="s">
        <v>33</v>
      </c>
      <c r="H72" s="15"/>
      <c r="I72" s="16">
        <f t="shared" si="177"/>
        <v>0</v>
      </c>
      <c r="J72" s="10"/>
      <c r="K72" s="17">
        <f t="shared" si="178"/>
        <v>0</v>
      </c>
      <c r="L72" s="18"/>
      <c r="M72" s="17">
        <f t="shared" si="179"/>
        <v>0</v>
      </c>
      <c r="N72" s="19"/>
      <c r="O72" s="17">
        <f t="shared" si="180"/>
        <v>0</v>
      </c>
      <c r="P72" s="17">
        <f t="shared" si="163"/>
        <v>0</v>
      </c>
      <c r="Q72" s="18" t="str">
        <f t="shared" si="181"/>
        <v>-</v>
      </c>
      <c r="R72" s="10"/>
      <c r="S72" s="20"/>
      <c r="T72" s="16"/>
      <c r="U72" s="13" t="s">
        <v>35</v>
      </c>
      <c r="V72" s="17" t="str">
        <f t="shared" si="182"/>
        <v>-</v>
      </c>
      <c r="W72" s="17" t="str">
        <f t="shared" si="183"/>
        <v>-</v>
      </c>
      <c r="X72" s="16"/>
      <c r="Y72" s="18" t="str">
        <f t="shared" si="184"/>
        <v>-</v>
      </c>
      <c r="Z72" s="10"/>
      <c r="AA72" s="19"/>
      <c r="AB72" s="13">
        <f t="shared" si="185"/>
        <v>0</v>
      </c>
      <c r="AC72" s="17" t="str">
        <f t="shared" si="186"/>
        <v>-</v>
      </c>
      <c r="AD72" s="10"/>
      <c r="AE72" s="19"/>
      <c r="AF72" s="13">
        <f t="shared" si="187"/>
        <v>0</v>
      </c>
      <c r="AG72" s="17" t="str">
        <f t="shared" si="188"/>
        <v>-</v>
      </c>
      <c r="AH72" s="10"/>
      <c r="AI72" s="19"/>
      <c r="AJ72" s="13">
        <f t="shared" si="189"/>
        <v>0</v>
      </c>
      <c r="AK72" s="17" t="str">
        <f t="shared" si="190"/>
        <v>-</v>
      </c>
      <c r="AL72" s="10"/>
      <c r="AM72" s="18" t="str">
        <f t="shared" si="191"/>
        <v>-</v>
      </c>
      <c r="AN72" s="15"/>
      <c r="AO72" s="17">
        <f t="shared" si="176"/>
        <v>0</v>
      </c>
      <c r="AP72" s="10"/>
    </row>
    <row r="73" spans="1:42" ht="30.75" customHeight="1" x14ac:dyDescent="0.3">
      <c r="A73" s="10"/>
      <c r="B73" s="11"/>
      <c r="C73" s="12"/>
      <c r="D73" s="12"/>
      <c r="E73" s="10"/>
      <c r="F73" s="13" t="s">
        <v>75</v>
      </c>
      <c r="G73" s="14" t="s">
        <v>33</v>
      </c>
      <c r="H73" s="15"/>
      <c r="I73" s="16">
        <f t="shared" si="177"/>
        <v>0</v>
      </c>
      <c r="J73" s="10"/>
      <c r="K73" s="17">
        <f t="shared" si="178"/>
        <v>0</v>
      </c>
      <c r="L73" s="18"/>
      <c r="M73" s="17">
        <f t="shared" si="179"/>
        <v>0</v>
      </c>
      <c r="N73" s="19"/>
      <c r="O73" s="17">
        <f t="shared" si="180"/>
        <v>0</v>
      </c>
      <c r="P73" s="17">
        <f t="shared" si="163"/>
        <v>0</v>
      </c>
      <c r="Q73" s="18" t="str">
        <f t="shared" si="181"/>
        <v>-</v>
      </c>
      <c r="R73" s="10"/>
      <c r="S73" s="20"/>
      <c r="T73" s="16"/>
      <c r="U73" s="13" t="s">
        <v>35</v>
      </c>
      <c r="V73" s="17" t="str">
        <f t="shared" si="182"/>
        <v>-</v>
      </c>
      <c r="W73" s="17" t="str">
        <f t="shared" si="183"/>
        <v>-</v>
      </c>
      <c r="X73" s="16"/>
      <c r="Y73" s="18" t="str">
        <f t="shared" si="184"/>
        <v>-</v>
      </c>
      <c r="Z73" s="10"/>
      <c r="AA73" s="19"/>
      <c r="AB73" s="13">
        <f t="shared" si="185"/>
        <v>0</v>
      </c>
      <c r="AC73" s="17" t="str">
        <f t="shared" si="186"/>
        <v>-</v>
      </c>
      <c r="AD73" s="10"/>
      <c r="AE73" s="19"/>
      <c r="AF73" s="13">
        <f t="shared" si="187"/>
        <v>0</v>
      </c>
      <c r="AG73" s="17" t="str">
        <f t="shared" si="188"/>
        <v>-</v>
      </c>
      <c r="AH73" s="10"/>
      <c r="AI73" s="19"/>
      <c r="AJ73" s="13">
        <f t="shared" si="189"/>
        <v>0</v>
      </c>
      <c r="AK73" s="17" t="str">
        <f t="shared" si="190"/>
        <v>-</v>
      </c>
      <c r="AL73" s="10"/>
      <c r="AM73" s="18" t="str">
        <f t="shared" si="191"/>
        <v>-</v>
      </c>
      <c r="AN73" s="15"/>
      <c r="AO73" s="17">
        <f t="shared" si="176"/>
        <v>0</v>
      </c>
      <c r="AP73" s="10"/>
    </row>
    <row r="74" spans="1:42" ht="30.75" customHeight="1" x14ac:dyDescent="0.3">
      <c r="A74" s="10"/>
      <c r="B74" s="11"/>
      <c r="C74" s="12"/>
      <c r="D74" s="12"/>
      <c r="E74" s="10"/>
      <c r="F74" s="13" t="s">
        <v>75</v>
      </c>
      <c r="G74" s="14" t="s">
        <v>33</v>
      </c>
      <c r="H74" s="15"/>
      <c r="I74" s="16">
        <f t="shared" si="177"/>
        <v>0</v>
      </c>
      <c r="J74" s="10"/>
      <c r="K74" s="17">
        <f t="shared" si="178"/>
        <v>0</v>
      </c>
      <c r="L74" s="18"/>
      <c r="M74" s="17">
        <f t="shared" si="179"/>
        <v>0</v>
      </c>
      <c r="N74" s="19"/>
      <c r="O74" s="17">
        <f t="shared" si="180"/>
        <v>0</v>
      </c>
      <c r="P74" s="17">
        <f t="shared" si="163"/>
        <v>0</v>
      </c>
      <c r="Q74" s="18" t="str">
        <f t="shared" si="181"/>
        <v>-</v>
      </c>
      <c r="R74" s="10"/>
      <c r="S74" s="20"/>
      <c r="T74" s="16"/>
      <c r="U74" s="13" t="s">
        <v>35</v>
      </c>
      <c r="V74" s="17" t="str">
        <f t="shared" si="182"/>
        <v>-</v>
      </c>
      <c r="W74" s="17" t="str">
        <f t="shared" si="183"/>
        <v>-</v>
      </c>
      <c r="X74" s="16"/>
      <c r="Y74" s="18" t="str">
        <f t="shared" si="184"/>
        <v>-</v>
      </c>
      <c r="Z74" s="10"/>
      <c r="AA74" s="19"/>
      <c r="AB74" s="13">
        <f t="shared" si="185"/>
        <v>0</v>
      </c>
      <c r="AC74" s="17" t="str">
        <f t="shared" si="186"/>
        <v>-</v>
      </c>
      <c r="AD74" s="10"/>
      <c r="AE74" s="19"/>
      <c r="AF74" s="13">
        <f t="shared" si="187"/>
        <v>0</v>
      </c>
      <c r="AG74" s="17" t="str">
        <f t="shared" si="188"/>
        <v>-</v>
      </c>
      <c r="AH74" s="10"/>
      <c r="AI74" s="19"/>
      <c r="AJ74" s="13">
        <f t="shared" si="189"/>
        <v>0</v>
      </c>
      <c r="AK74" s="17" t="str">
        <f t="shared" si="190"/>
        <v>-</v>
      </c>
      <c r="AL74" s="10"/>
      <c r="AM74" s="18" t="str">
        <f t="shared" si="191"/>
        <v>-</v>
      </c>
      <c r="AN74" s="15"/>
      <c r="AO74" s="17">
        <f t="shared" si="176"/>
        <v>0</v>
      </c>
      <c r="AP74" s="10"/>
    </row>
    <row r="75" spans="1:42" ht="30.75" customHeight="1" x14ac:dyDescent="0.3">
      <c r="A75" s="10"/>
      <c r="B75" s="11"/>
      <c r="C75" s="12"/>
      <c r="D75" s="12"/>
      <c r="E75" s="10"/>
      <c r="F75" s="13" t="s">
        <v>75</v>
      </c>
      <c r="G75" s="14" t="s">
        <v>33</v>
      </c>
      <c r="H75" s="15"/>
      <c r="I75" s="16">
        <f t="shared" si="175"/>
        <v>0</v>
      </c>
      <c r="J75" s="10"/>
      <c r="K75" s="17">
        <f t="shared" si="160"/>
        <v>0</v>
      </c>
      <c r="L75" s="18"/>
      <c r="M75" s="17">
        <f t="shared" si="161"/>
        <v>0</v>
      </c>
      <c r="N75" s="19"/>
      <c r="O75" s="17">
        <f t="shared" si="162"/>
        <v>0</v>
      </c>
      <c r="P75" s="17">
        <f t="shared" si="163"/>
        <v>0</v>
      </c>
      <c r="Q75" s="18" t="str">
        <f t="shared" si="164"/>
        <v>-</v>
      </c>
      <c r="R75" s="10"/>
      <c r="S75" s="20"/>
      <c r="T75" s="16"/>
      <c r="U75" s="13" t="s">
        <v>35</v>
      </c>
      <c r="V75" s="17" t="str">
        <f t="shared" si="165"/>
        <v>-</v>
      </c>
      <c r="W75" s="17" t="str">
        <f t="shared" si="166"/>
        <v>-</v>
      </c>
      <c r="X75" s="16"/>
      <c r="Y75" s="18" t="str">
        <f t="shared" si="167"/>
        <v>-</v>
      </c>
      <c r="Z75" s="10"/>
      <c r="AA75" s="19"/>
      <c r="AB75" s="13">
        <f t="shared" si="168"/>
        <v>0</v>
      </c>
      <c r="AC75" s="17" t="str">
        <f t="shared" si="169"/>
        <v>-</v>
      </c>
      <c r="AD75" s="10"/>
      <c r="AE75" s="19"/>
      <c r="AF75" s="13">
        <f t="shared" si="170"/>
        <v>0</v>
      </c>
      <c r="AG75" s="17" t="str">
        <f t="shared" si="171"/>
        <v>-</v>
      </c>
      <c r="AH75" s="10"/>
      <c r="AI75" s="19"/>
      <c r="AJ75" s="13">
        <f t="shared" si="172"/>
        <v>0</v>
      </c>
      <c r="AK75" s="17" t="str">
        <f t="shared" si="173"/>
        <v>-</v>
      </c>
      <c r="AL75" s="10"/>
      <c r="AM75" s="18" t="str">
        <f t="shared" si="174"/>
        <v>-</v>
      </c>
      <c r="AN75" s="15"/>
      <c r="AO75" s="17">
        <f t="shared" si="176"/>
        <v>0</v>
      </c>
      <c r="AP75" s="10"/>
    </row>
    <row r="76" spans="1:42" ht="30.75" customHeight="1" x14ac:dyDescent="0.3">
      <c r="A76" s="10"/>
      <c r="B76" s="11"/>
      <c r="C76" s="12"/>
      <c r="D76" s="12"/>
      <c r="E76" s="10"/>
      <c r="F76" s="13" t="s">
        <v>75</v>
      </c>
      <c r="G76" s="14" t="s">
        <v>33</v>
      </c>
      <c r="H76" s="15"/>
      <c r="I76" s="16">
        <f t="shared" si="175"/>
        <v>0</v>
      </c>
      <c r="J76" s="10"/>
      <c r="K76" s="17">
        <f t="shared" si="160"/>
        <v>0</v>
      </c>
      <c r="L76" s="18"/>
      <c r="M76" s="17">
        <f t="shared" si="161"/>
        <v>0</v>
      </c>
      <c r="N76" s="19"/>
      <c r="O76" s="17">
        <f t="shared" si="162"/>
        <v>0</v>
      </c>
      <c r="P76" s="17">
        <f t="shared" si="163"/>
        <v>0</v>
      </c>
      <c r="Q76" s="18" t="str">
        <f t="shared" si="164"/>
        <v>-</v>
      </c>
      <c r="R76" s="10"/>
      <c r="S76" s="20"/>
      <c r="T76" s="16"/>
      <c r="U76" s="13" t="s">
        <v>35</v>
      </c>
      <c r="V76" s="17" t="str">
        <f t="shared" si="165"/>
        <v>-</v>
      </c>
      <c r="W76" s="17" t="str">
        <f t="shared" si="166"/>
        <v>-</v>
      </c>
      <c r="X76" s="16"/>
      <c r="Y76" s="18" t="str">
        <f t="shared" si="167"/>
        <v>-</v>
      </c>
      <c r="Z76" s="10"/>
      <c r="AA76" s="19"/>
      <c r="AB76" s="13">
        <f t="shared" si="168"/>
        <v>0</v>
      </c>
      <c r="AC76" s="17" t="str">
        <f t="shared" si="169"/>
        <v>-</v>
      </c>
      <c r="AD76" s="10"/>
      <c r="AE76" s="19"/>
      <c r="AF76" s="13">
        <f t="shared" si="170"/>
        <v>0</v>
      </c>
      <c r="AG76" s="17" t="str">
        <f t="shared" si="171"/>
        <v>-</v>
      </c>
      <c r="AH76" s="10"/>
      <c r="AI76" s="19"/>
      <c r="AJ76" s="13">
        <f t="shared" si="172"/>
        <v>0</v>
      </c>
      <c r="AK76" s="17" t="str">
        <f t="shared" si="173"/>
        <v>-</v>
      </c>
      <c r="AL76" s="10"/>
      <c r="AM76" s="18" t="str">
        <f t="shared" si="174"/>
        <v>-</v>
      </c>
      <c r="AN76" s="15"/>
      <c r="AO76" s="17">
        <f t="shared" si="176"/>
        <v>0</v>
      </c>
      <c r="AP76" s="10"/>
    </row>
    <row r="77" spans="1:42" ht="30.75" customHeight="1" x14ac:dyDescent="0.3">
      <c r="A77" s="10"/>
      <c r="B77" s="11"/>
      <c r="C77" s="12"/>
      <c r="D77" s="12"/>
      <c r="E77" s="10"/>
      <c r="F77" s="13" t="s">
        <v>75</v>
      </c>
      <c r="G77" s="14" t="s">
        <v>33</v>
      </c>
      <c r="H77" s="15"/>
      <c r="I77" s="16">
        <f t="shared" si="175"/>
        <v>0</v>
      </c>
      <c r="J77" s="10"/>
      <c r="K77" s="17">
        <f t="shared" si="160"/>
        <v>0</v>
      </c>
      <c r="L77" s="18"/>
      <c r="M77" s="17">
        <f t="shared" si="161"/>
        <v>0</v>
      </c>
      <c r="N77" s="19"/>
      <c r="O77" s="17">
        <f t="shared" si="162"/>
        <v>0</v>
      </c>
      <c r="P77" s="17">
        <f t="shared" si="163"/>
        <v>0</v>
      </c>
      <c r="Q77" s="18" t="str">
        <f t="shared" si="164"/>
        <v>-</v>
      </c>
      <c r="R77" s="10"/>
      <c r="S77" s="20"/>
      <c r="T77" s="16"/>
      <c r="U77" s="13" t="s">
        <v>35</v>
      </c>
      <c r="V77" s="17" t="str">
        <f t="shared" si="165"/>
        <v>-</v>
      </c>
      <c r="W77" s="17" t="str">
        <f t="shared" si="166"/>
        <v>-</v>
      </c>
      <c r="X77" s="16"/>
      <c r="Y77" s="18" t="str">
        <f t="shared" si="167"/>
        <v>-</v>
      </c>
      <c r="Z77" s="10"/>
      <c r="AA77" s="19"/>
      <c r="AB77" s="13">
        <f t="shared" si="168"/>
        <v>0</v>
      </c>
      <c r="AC77" s="17" t="str">
        <f t="shared" si="169"/>
        <v>-</v>
      </c>
      <c r="AD77" s="10"/>
      <c r="AE77" s="19"/>
      <c r="AF77" s="13">
        <f t="shared" si="170"/>
        <v>0</v>
      </c>
      <c r="AG77" s="17" t="str">
        <f t="shared" si="171"/>
        <v>-</v>
      </c>
      <c r="AH77" s="10"/>
      <c r="AI77" s="19"/>
      <c r="AJ77" s="13">
        <f t="shared" si="172"/>
        <v>0</v>
      </c>
      <c r="AK77" s="17" t="str">
        <f t="shared" si="173"/>
        <v>-</v>
      </c>
      <c r="AL77" s="10"/>
      <c r="AM77" s="18" t="str">
        <f t="shared" si="174"/>
        <v>-</v>
      </c>
      <c r="AN77" s="15"/>
      <c r="AO77" s="17">
        <f t="shared" si="176"/>
        <v>0</v>
      </c>
      <c r="AP77" s="10"/>
    </row>
    <row r="78" spans="1:42" ht="17.25" customHeight="1" x14ac:dyDescent="0.3">
      <c r="A78" s="22"/>
      <c r="B78" s="6" t="s">
        <v>34</v>
      </c>
      <c r="C78" s="9" t="s">
        <v>35</v>
      </c>
      <c r="D78" s="9" t="s">
        <v>35</v>
      </c>
      <c r="E78" s="22"/>
      <c r="F78" s="9" t="s">
        <v>35</v>
      </c>
      <c r="G78" s="6" t="s">
        <v>35</v>
      </c>
      <c r="H78" s="5" t="str">
        <f>IFERROR(K78/I78,"-")</f>
        <v>-</v>
      </c>
      <c r="I78" s="25">
        <f>IFERROR(SUM(I68:I77),"-")</f>
        <v>0</v>
      </c>
      <c r="J78" s="22"/>
      <c r="K78" s="23">
        <f>IFERROR(SUM(K68:K77),"-")</f>
        <v>0</v>
      </c>
      <c r="L78" s="6" t="s">
        <v>35</v>
      </c>
      <c r="M78" s="23">
        <f>IFERROR(SUM(M68:M77),"-")</f>
        <v>0</v>
      </c>
      <c r="N78" s="9" t="s">
        <v>35</v>
      </c>
      <c r="O78" s="23">
        <f>IFERROR(SUM(O68:O77),"-")</f>
        <v>0</v>
      </c>
      <c r="P78" s="23">
        <f t="shared" si="163"/>
        <v>0</v>
      </c>
      <c r="Q78" s="24">
        <v>0</v>
      </c>
      <c r="R78" s="22"/>
      <c r="S78" s="25">
        <f>IFERROR(SUM(S68:S77),"-")</f>
        <v>0</v>
      </c>
      <c r="T78" s="25" t="s">
        <v>35</v>
      </c>
      <c r="U78" s="25" t="s">
        <v>35</v>
      </c>
      <c r="V78" s="23" t="str">
        <f t="shared" si="165"/>
        <v>-</v>
      </c>
      <c r="W78" s="23" t="str">
        <f t="shared" si="166"/>
        <v>-</v>
      </c>
      <c r="X78" s="6" t="s">
        <v>35</v>
      </c>
      <c r="Y78" s="6" t="s">
        <v>35</v>
      </c>
      <c r="Z78" s="22"/>
      <c r="AA78" s="24" t="str">
        <f>IFERROR(AB78/S78,"-")</f>
        <v>-</v>
      </c>
      <c r="AB78" s="25">
        <f>IFERROR(SUM(AB68:AB77),"-")</f>
        <v>0</v>
      </c>
      <c r="AC78" s="23" t="str">
        <f t="shared" si="169"/>
        <v>-</v>
      </c>
      <c r="AD78" s="22"/>
      <c r="AE78" s="24" t="str">
        <f>IFERROR(AF78/AB78,"-")</f>
        <v>-</v>
      </c>
      <c r="AF78" s="25">
        <f>IFERROR(SUM(AF68:AF77),"-")</f>
        <v>0</v>
      </c>
      <c r="AG78" s="23" t="str">
        <f t="shared" si="171"/>
        <v>-</v>
      </c>
      <c r="AH78" s="22"/>
      <c r="AI78" s="24" t="str">
        <f>IFERROR(AJ78/AB78,"-")</f>
        <v>-</v>
      </c>
      <c r="AJ78" s="25">
        <v>0</v>
      </c>
      <c r="AK78" s="23" t="str">
        <f>IFERROR(L78/AJ78,"-")</f>
        <v>-</v>
      </c>
      <c r="AL78" s="22"/>
      <c r="AM78" s="24" t="str">
        <f t="shared" si="174"/>
        <v>-</v>
      </c>
      <c r="AN78" s="23" t="str">
        <f>IFERROR(AO78/AF78,"-")</f>
        <v>-</v>
      </c>
      <c r="AO78" s="23">
        <f>IFERROR(SUM(AO68:AO77),"-")</f>
        <v>0</v>
      </c>
      <c r="AP78" s="22"/>
    </row>
    <row r="79" spans="1:42" ht="15.75" customHeight="1" x14ac:dyDescent="0.3">
      <c r="A79" s="33"/>
      <c r="B79" s="34"/>
      <c r="C79" s="34"/>
      <c r="D79" s="34"/>
      <c r="E79" s="33"/>
      <c r="F79" s="34"/>
      <c r="G79" s="34"/>
      <c r="H79" s="34"/>
      <c r="I79" s="34"/>
      <c r="J79" s="33"/>
      <c r="K79" s="34"/>
      <c r="L79" s="34"/>
      <c r="M79" s="34"/>
      <c r="N79" s="34"/>
      <c r="O79" s="34"/>
      <c r="P79" s="34"/>
      <c r="Q79" s="34"/>
      <c r="R79" s="33"/>
      <c r="S79" s="34"/>
      <c r="T79" s="34"/>
      <c r="U79" s="34"/>
      <c r="V79" s="34"/>
      <c r="W79" s="34"/>
      <c r="X79" s="34"/>
      <c r="Y79" s="34"/>
      <c r="Z79" s="33"/>
      <c r="AA79" s="34"/>
      <c r="AB79" s="34"/>
      <c r="AC79" s="34"/>
      <c r="AD79" s="33"/>
      <c r="AE79" s="34"/>
      <c r="AF79" s="34"/>
      <c r="AG79" s="34"/>
      <c r="AH79" s="33"/>
      <c r="AI79" s="34"/>
      <c r="AJ79" s="34"/>
      <c r="AK79" s="34"/>
      <c r="AL79" s="33"/>
      <c r="AM79" s="34"/>
      <c r="AN79" s="34"/>
      <c r="AO79" s="34"/>
      <c r="AP79" s="33"/>
    </row>
    <row r="80" spans="1:42" ht="51.75" customHeight="1" x14ac:dyDescent="0.3">
      <c r="A80" s="1"/>
      <c r="B80" s="2" t="s">
        <v>0</v>
      </c>
      <c r="C80" s="2" t="s">
        <v>1</v>
      </c>
      <c r="D80" s="2" t="s">
        <v>2</v>
      </c>
      <c r="E80" s="1"/>
      <c r="F80" s="3" t="s">
        <v>3</v>
      </c>
      <c r="G80" s="2" t="s">
        <v>66</v>
      </c>
      <c r="H80" s="2" t="s">
        <v>67</v>
      </c>
      <c r="I80" s="2" t="s">
        <v>68</v>
      </c>
      <c r="J80" s="1"/>
      <c r="K80" s="4" t="s">
        <v>7</v>
      </c>
      <c r="L80" s="3" t="s">
        <v>8</v>
      </c>
      <c r="M80" s="4" t="s">
        <v>9</v>
      </c>
      <c r="N80" s="3" t="s">
        <v>10</v>
      </c>
      <c r="O80" s="5" t="s">
        <v>11</v>
      </c>
      <c r="P80" s="5" t="s">
        <v>12</v>
      </c>
      <c r="Q80" s="4" t="s">
        <v>13</v>
      </c>
      <c r="R80" s="1"/>
      <c r="S80" s="2" t="s">
        <v>14</v>
      </c>
      <c r="T80" s="2" t="s">
        <v>15</v>
      </c>
      <c r="U80" s="2" t="s">
        <v>16</v>
      </c>
      <c r="V80" s="2" t="s">
        <v>17</v>
      </c>
      <c r="W80" s="2" t="s">
        <v>18</v>
      </c>
      <c r="X80" s="2" t="s">
        <v>19</v>
      </c>
      <c r="Y80" s="2" t="s">
        <v>20</v>
      </c>
      <c r="Z80" s="1"/>
      <c r="AA80" s="6" t="s">
        <v>21</v>
      </c>
      <c r="AB80" s="7" t="s">
        <v>22</v>
      </c>
      <c r="AC80" s="7" t="s">
        <v>23</v>
      </c>
      <c r="AD80" s="1"/>
      <c r="AE80" s="6" t="s">
        <v>24</v>
      </c>
      <c r="AF80" s="8" t="s">
        <v>25</v>
      </c>
      <c r="AG80" s="8" t="s">
        <v>26</v>
      </c>
      <c r="AH80" s="1"/>
      <c r="AI80" s="9" t="s">
        <v>27</v>
      </c>
      <c r="AJ80" s="8" t="s">
        <v>28</v>
      </c>
      <c r="AK80" s="8" t="s">
        <v>56</v>
      </c>
      <c r="AL80" s="1"/>
      <c r="AM80" s="9" t="s">
        <v>30</v>
      </c>
      <c r="AN80" s="8" t="s">
        <v>31</v>
      </c>
      <c r="AO80" s="8" t="s">
        <v>32</v>
      </c>
      <c r="AP80" s="1"/>
    </row>
    <row r="81" spans="1:42" ht="30.75" customHeight="1" x14ac:dyDescent="0.3">
      <c r="A81" s="10"/>
      <c r="B81" s="11"/>
      <c r="C81" s="12"/>
      <c r="D81" s="12"/>
      <c r="E81" s="10"/>
      <c r="F81" s="13" t="s">
        <v>76</v>
      </c>
      <c r="G81" s="14" t="s">
        <v>33</v>
      </c>
      <c r="H81" s="15"/>
      <c r="I81" s="16">
        <f>IFERROR(S81*AA81,"-")</f>
        <v>0</v>
      </c>
      <c r="J81" s="10"/>
      <c r="K81" s="17">
        <f t="shared" ref="K81:K90" si="192">IFERROR((H81*I81),"-")</f>
        <v>0</v>
      </c>
      <c r="L81" s="18"/>
      <c r="M81" s="17">
        <f t="shared" ref="M81:M90" si="193">IFERROR(K81*(1-L81),"-")</f>
        <v>0</v>
      </c>
      <c r="N81" s="19"/>
      <c r="O81" s="17">
        <f t="shared" ref="O81:O90" si="194">IFERROR(M81*(1+N81),"-")</f>
        <v>0</v>
      </c>
      <c r="P81" s="17">
        <f t="shared" ref="P81:P91" si="195">IFERROR(O81*1.22,"-")</f>
        <v>0</v>
      </c>
      <c r="Q81" s="18" t="str">
        <f t="shared" ref="Q81:Q90" si="196">IFERROR(P81/$P$13,"-")</f>
        <v>-</v>
      </c>
      <c r="R81" s="10"/>
      <c r="S81" s="20"/>
      <c r="T81" s="16"/>
      <c r="U81" s="13" t="s">
        <v>35</v>
      </c>
      <c r="V81" s="17" t="str">
        <f t="shared" ref="V81:V91" si="197">IFERROR(P81/S81*1000,"-")</f>
        <v>-</v>
      </c>
      <c r="W81" s="17" t="str">
        <f t="shared" ref="W81:W91" si="198">IFERROR(P81/U81*1000,"-")</f>
        <v>-</v>
      </c>
      <c r="X81" s="16"/>
      <c r="Y81" s="18" t="str">
        <f t="shared" ref="Y81:Y90" si="199">IFERROR(U81/X81,"-")</f>
        <v>-</v>
      </c>
      <c r="Z81" s="10"/>
      <c r="AA81" s="19"/>
      <c r="AB81" s="13">
        <f t="shared" ref="AB81:AB90" si="200">IFERROR(ROUNDDOWN(S81*AA81,0),"-")</f>
        <v>0</v>
      </c>
      <c r="AC81" s="17" t="str">
        <f t="shared" ref="AC81:AC91" si="201">IFERROR(P81/AB81,"-")</f>
        <v>-</v>
      </c>
      <c r="AD81" s="10"/>
      <c r="AE81" s="19"/>
      <c r="AF81" s="13">
        <f t="shared" ref="AF81:AF90" si="202">IF(G81="CPI",AJ81*AE81,IFERROR(ROUNDDOWN(AB81*AE81,0),"-"))</f>
        <v>0</v>
      </c>
      <c r="AG81" s="17" t="str">
        <f t="shared" ref="AG81:AG91" si="203">IFERROR(P81/AF81,"-")</f>
        <v>-</v>
      </c>
      <c r="AH81" s="10"/>
      <c r="AI81" s="19"/>
      <c r="AJ81" s="13">
        <f t="shared" ref="AJ81:AJ90" si="204">IF(G81="CPI",I81,0)</f>
        <v>0</v>
      </c>
      <c r="AK81" s="17" t="str">
        <f t="shared" ref="AK81:AK90" si="205">IFERROR(P81/AJ81,"-")</f>
        <v>-</v>
      </c>
      <c r="AL81" s="10"/>
      <c r="AM81" s="18" t="str">
        <f t="shared" ref="AM81:AM91" si="206">IFERROR(P81/AO81,"-")</f>
        <v>-</v>
      </c>
      <c r="AN81" s="15"/>
      <c r="AO81" s="17">
        <f>AN81*AF81</f>
        <v>0</v>
      </c>
      <c r="AP81" s="10"/>
    </row>
    <row r="82" spans="1:42" ht="30.75" customHeight="1" x14ac:dyDescent="0.3">
      <c r="A82" s="10"/>
      <c r="B82" s="11"/>
      <c r="C82" s="12"/>
      <c r="D82" s="12"/>
      <c r="E82" s="10"/>
      <c r="F82" s="13" t="s">
        <v>76</v>
      </c>
      <c r="G82" s="14" t="s">
        <v>33</v>
      </c>
      <c r="H82" s="15"/>
      <c r="I82" s="16">
        <f t="shared" ref="I82:I90" si="207">IFERROR(S82*AA82,"-")</f>
        <v>0</v>
      </c>
      <c r="J82" s="10"/>
      <c r="K82" s="17">
        <f t="shared" si="192"/>
        <v>0</v>
      </c>
      <c r="L82" s="18"/>
      <c r="M82" s="17">
        <f t="shared" si="193"/>
        <v>0</v>
      </c>
      <c r="N82" s="19"/>
      <c r="O82" s="17">
        <f t="shared" si="194"/>
        <v>0</v>
      </c>
      <c r="P82" s="17">
        <f t="shared" si="195"/>
        <v>0</v>
      </c>
      <c r="Q82" s="18" t="str">
        <f t="shared" si="196"/>
        <v>-</v>
      </c>
      <c r="R82" s="10"/>
      <c r="S82" s="20"/>
      <c r="T82" s="16"/>
      <c r="U82" s="13" t="s">
        <v>35</v>
      </c>
      <c r="V82" s="17" t="str">
        <f t="shared" si="197"/>
        <v>-</v>
      </c>
      <c r="W82" s="17" t="str">
        <f t="shared" si="198"/>
        <v>-</v>
      </c>
      <c r="X82" s="16"/>
      <c r="Y82" s="18" t="str">
        <f t="shared" si="199"/>
        <v>-</v>
      </c>
      <c r="Z82" s="10"/>
      <c r="AA82" s="19"/>
      <c r="AB82" s="13">
        <f t="shared" si="200"/>
        <v>0</v>
      </c>
      <c r="AC82" s="17" t="str">
        <f t="shared" si="201"/>
        <v>-</v>
      </c>
      <c r="AD82" s="10"/>
      <c r="AE82" s="19"/>
      <c r="AF82" s="13">
        <f t="shared" si="202"/>
        <v>0</v>
      </c>
      <c r="AG82" s="17" t="str">
        <f t="shared" si="203"/>
        <v>-</v>
      </c>
      <c r="AH82" s="10"/>
      <c r="AI82" s="19"/>
      <c r="AJ82" s="13">
        <f t="shared" si="204"/>
        <v>0</v>
      </c>
      <c r="AK82" s="17" t="str">
        <f t="shared" si="205"/>
        <v>-</v>
      </c>
      <c r="AL82" s="10"/>
      <c r="AM82" s="18" t="str">
        <f t="shared" si="206"/>
        <v>-</v>
      </c>
      <c r="AN82" s="15"/>
      <c r="AO82" s="17">
        <f t="shared" ref="AO82:AO90" si="208">AN82*AF82</f>
        <v>0</v>
      </c>
      <c r="AP82" s="10"/>
    </row>
    <row r="83" spans="1:42" ht="30.75" customHeight="1" x14ac:dyDescent="0.3">
      <c r="A83" s="10"/>
      <c r="B83" s="11"/>
      <c r="C83" s="12"/>
      <c r="D83" s="12"/>
      <c r="E83" s="10"/>
      <c r="F83" s="13" t="s">
        <v>76</v>
      </c>
      <c r="G83" s="14" t="s">
        <v>33</v>
      </c>
      <c r="H83" s="15"/>
      <c r="I83" s="16">
        <f t="shared" ref="I83:I87" si="209">IFERROR(S83*AA83,"-")</f>
        <v>0</v>
      </c>
      <c r="J83" s="10"/>
      <c r="K83" s="17">
        <f t="shared" ref="K83:K87" si="210">IFERROR((H83*I83),"-")</f>
        <v>0</v>
      </c>
      <c r="L83" s="18"/>
      <c r="M83" s="17">
        <f t="shared" ref="M83:M87" si="211">IFERROR(K83*(1-L83),"-")</f>
        <v>0</v>
      </c>
      <c r="N83" s="19"/>
      <c r="O83" s="17">
        <f t="shared" ref="O83:O87" si="212">IFERROR(M83*(1+N83),"-")</f>
        <v>0</v>
      </c>
      <c r="P83" s="17">
        <f t="shared" si="195"/>
        <v>0</v>
      </c>
      <c r="Q83" s="18" t="str">
        <f t="shared" ref="Q83:Q87" si="213">IFERROR(P83/$P$13,"-")</f>
        <v>-</v>
      </c>
      <c r="R83" s="10"/>
      <c r="S83" s="20"/>
      <c r="T83" s="16"/>
      <c r="U83" s="13" t="s">
        <v>35</v>
      </c>
      <c r="V83" s="17" t="str">
        <f t="shared" ref="V83:V87" si="214">IFERROR(P83/S83*1000,"-")</f>
        <v>-</v>
      </c>
      <c r="W83" s="17" t="str">
        <f t="shared" ref="W83:W87" si="215">IFERROR(P83/U83*1000,"-")</f>
        <v>-</v>
      </c>
      <c r="X83" s="16"/>
      <c r="Y83" s="18" t="str">
        <f t="shared" ref="Y83:Y87" si="216">IFERROR(U83/X83,"-")</f>
        <v>-</v>
      </c>
      <c r="Z83" s="10"/>
      <c r="AA83" s="19"/>
      <c r="AB83" s="13">
        <f t="shared" ref="AB83:AB87" si="217">IFERROR(ROUNDDOWN(S83*AA83,0),"-")</f>
        <v>0</v>
      </c>
      <c r="AC83" s="17" t="str">
        <f t="shared" ref="AC83:AC87" si="218">IFERROR(P83/AB83,"-")</f>
        <v>-</v>
      </c>
      <c r="AD83" s="10"/>
      <c r="AE83" s="19"/>
      <c r="AF83" s="13">
        <f t="shared" ref="AF83:AF87" si="219">IF(G83="CPI",AJ83*AE83,IFERROR(ROUNDDOWN(AB83*AE83,0),"-"))</f>
        <v>0</v>
      </c>
      <c r="AG83" s="17" t="str">
        <f t="shared" ref="AG83:AG87" si="220">IFERROR(P83/AF83,"-")</f>
        <v>-</v>
      </c>
      <c r="AH83" s="10"/>
      <c r="AI83" s="19"/>
      <c r="AJ83" s="13">
        <f t="shared" ref="AJ83:AJ87" si="221">IF(G83="CPI",I83,0)</f>
        <v>0</v>
      </c>
      <c r="AK83" s="17" t="str">
        <f t="shared" ref="AK83:AK87" si="222">IFERROR(P83/AJ83,"-")</f>
        <v>-</v>
      </c>
      <c r="AL83" s="10"/>
      <c r="AM83" s="18" t="str">
        <f t="shared" ref="AM83:AM87" si="223">IFERROR(P83/AO83,"-")</f>
        <v>-</v>
      </c>
      <c r="AN83" s="15"/>
      <c r="AO83" s="17">
        <f t="shared" si="208"/>
        <v>0</v>
      </c>
      <c r="AP83" s="10"/>
    </row>
    <row r="84" spans="1:42" ht="30.75" customHeight="1" x14ac:dyDescent="0.3">
      <c r="A84" s="10"/>
      <c r="B84" s="11"/>
      <c r="C84" s="12"/>
      <c r="D84" s="12"/>
      <c r="E84" s="10"/>
      <c r="F84" s="13" t="s">
        <v>76</v>
      </c>
      <c r="G84" s="14" t="s">
        <v>33</v>
      </c>
      <c r="H84" s="15"/>
      <c r="I84" s="16">
        <f t="shared" si="209"/>
        <v>0</v>
      </c>
      <c r="J84" s="10"/>
      <c r="K84" s="17">
        <f t="shared" si="210"/>
        <v>0</v>
      </c>
      <c r="L84" s="18"/>
      <c r="M84" s="17">
        <f t="shared" si="211"/>
        <v>0</v>
      </c>
      <c r="N84" s="19"/>
      <c r="O84" s="17">
        <f t="shared" si="212"/>
        <v>0</v>
      </c>
      <c r="P84" s="17">
        <f t="shared" si="195"/>
        <v>0</v>
      </c>
      <c r="Q84" s="18" t="str">
        <f t="shared" si="213"/>
        <v>-</v>
      </c>
      <c r="R84" s="10"/>
      <c r="S84" s="20"/>
      <c r="T84" s="16"/>
      <c r="U84" s="13" t="s">
        <v>35</v>
      </c>
      <c r="V84" s="17" t="str">
        <f t="shared" si="214"/>
        <v>-</v>
      </c>
      <c r="W84" s="17" t="str">
        <f t="shared" si="215"/>
        <v>-</v>
      </c>
      <c r="X84" s="16"/>
      <c r="Y84" s="18" t="str">
        <f t="shared" si="216"/>
        <v>-</v>
      </c>
      <c r="Z84" s="10"/>
      <c r="AA84" s="19"/>
      <c r="AB84" s="13">
        <f t="shared" si="217"/>
        <v>0</v>
      </c>
      <c r="AC84" s="17" t="str">
        <f t="shared" si="218"/>
        <v>-</v>
      </c>
      <c r="AD84" s="10"/>
      <c r="AE84" s="19"/>
      <c r="AF84" s="13">
        <f t="shared" si="219"/>
        <v>0</v>
      </c>
      <c r="AG84" s="17" t="str">
        <f t="shared" si="220"/>
        <v>-</v>
      </c>
      <c r="AH84" s="10"/>
      <c r="AI84" s="19"/>
      <c r="AJ84" s="13">
        <f t="shared" si="221"/>
        <v>0</v>
      </c>
      <c r="AK84" s="17" t="str">
        <f t="shared" si="222"/>
        <v>-</v>
      </c>
      <c r="AL84" s="10"/>
      <c r="AM84" s="18" t="str">
        <f t="shared" si="223"/>
        <v>-</v>
      </c>
      <c r="AN84" s="15"/>
      <c r="AO84" s="17">
        <f t="shared" si="208"/>
        <v>0</v>
      </c>
      <c r="AP84" s="10"/>
    </row>
    <row r="85" spans="1:42" ht="30.75" customHeight="1" x14ac:dyDescent="0.3">
      <c r="A85" s="10"/>
      <c r="B85" s="11"/>
      <c r="C85" s="12"/>
      <c r="D85" s="12"/>
      <c r="E85" s="10"/>
      <c r="F85" s="13" t="s">
        <v>76</v>
      </c>
      <c r="G85" s="14" t="s">
        <v>33</v>
      </c>
      <c r="H85" s="15"/>
      <c r="I85" s="16">
        <f t="shared" si="209"/>
        <v>0</v>
      </c>
      <c r="J85" s="10"/>
      <c r="K85" s="17">
        <f t="shared" si="210"/>
        <v>0</v>
      </c>
      <c r="L85" s="18"/>
      <c r="M85" s="17">
        <f t="shared" si="211"/>
        <v>0</v>
      </c>
      <c r="N85" s="19"/>
      <c r="O85" s="17">
        <f t="shared" si="212"/>
        <v>0</v>
      </c>
      <c r="P85" s="17">
        <f t="shared" si="195"/>
        <v>0</v>
      </c>
      <c r="Q85" s="18" t="str">
        <f t="shared" si="213"/>
        <v>-</v>
      </c>
      <c r="R85" s="10"/>
      <c r="S85" s="20"/>
      <c r="T85" s="16"/>
      <c r="U85" s="13" t="s">
        <v>35</v>
      </c>
      <c r="V85" s="17" t="str">
        <f t="shared" si="214"/>
        <v>-</v>
      </c>
      <c r="W85" s="17" t="str">
        <f t="shared" si="215"/>
        <v>-</v>
      </c>
      <c r="X85" s="16"/>
      <c r="Y85" s="18" t="str">
        <f t="shared" si="216"/>
        <v>-</v>
      </c>
      <c r="Z85" s="10"/>
      <c r="AA85" s="19"/>
      <c r="AB85" s="13">
        <f t="shared" si="217"/>
        <v>0</v>
      </c>
      <c r="AC85" s="17" t="str">
        <f t="shared" si="218"/>
        <v>-</v>
      </c>
      <c r="AD85" s="10"/>
      <c r="AE85" s="19"/>
      <c r="AF85" s="13">
        <f t="shared" si="219"/>
        <v>0</v>
      </c>
      <c r="AG85" s="17" t="str">
        <f t="shared" si="220"/>
        <v>-</v>
      </c>
      <c r="AH85" s="10"/>
      <c r="AI85" s="19"/>
      <c r="AJ85" s="13">
        <f t="shared" si="221"/>
        <v>0</v>
      </c>
      <c r="AK85" s="17" t="str">
        <f t="shared" si="222"/>
        <v>-</v>
      </c>
      <c r="AL85" s="10"/>
      <c r="AM85" s="18" t="str">
        <f t="shared" si="223"/>
        <v>-</v>
      </c>
      <c r="AN85" s="15"/>
      <c r="AO85" s="17">
        <f t="shared" si="208"/>
        <v>0</v>
      </c>
      <c r="AP85" s="10"/>
    </row>
    <row r="86" spans="1:42" ht="30.75" customHeight="1" x14ac:dyDescent="0.3">
      <c r="A86" s="10"/>
      <c r="B86" s="11"/>
      <c r="C86" s="12"/>
      <c r="D86" s="12"/>
      <c r="E86" s="10"/>
      <c r="F86" s="13" t="s">
        <v>76</v>
      </c>
      <c r="G86" s="14" t="s">
        <v>33</v>
      </c>
      <c r="H86" s="15"/>
      <c r="I86" s="16">
        <f t="shared" si="209"/>
        <v>0</v>
      </c>
      <c r="J86" s="10"/>
      <c r="K86" s="17">
        <f t="shared" si="210"/>
        <v>0</v>
      </c>
      <c r="L86" s="18"/>
      <c r="M86" s="17">
        <f t="shared" si="211"/>
        <v>0</v>
      </c>
      <c r="N86" s="19"/>
      <c r="O86" s="17">
        <f t="shared" si="212"/>
        <v>0</v>
      </c>
      <c r="P86" s="17">
        <f t="shared" si="195"/>
        <v>0</v>
      </c>
      <c r="Q86" s="18" t="str">
        <f t="shared" si="213"/>
        <v>-</v>
      </c>
      <c r="R86" s="10"/>
      <c r="S86" s="20"/>
      <c r="T86" s="16"/>
      <c r="U86" s="13" t="s">
        <v>35</v>
      </c>
      <c r="V86" s="17" t="str">
        <f t="shared" si="214"/>
        <v>-</v>
      </c>
      <c r="W86" s="17" t="str">
        <f t="shared" si="215"/>
        <v>-</v>
      </c>
      <c r="X86" s="16"/>
      <c r="Y86" s="18" t="str">
        <f t="shared" si="216"/>
        <v>-</v>
      </c>
      <c r="Z86" s="10"/>
      <c r="AA86" s="19"/>
      <c r="AB86" s="13">
        <f t="shared" si="217"/>
        <v>0</v>
      </c>
      <c r="AC86" s="17" t="str">
        <f t="shared" si="218"/>
        <v>-</v>
      </c>
      <c r="AD86" s="10"/>
      <c r="AE86" s="19"/>
      <c r="AF86" s="13">
        <f t="shared" si="219"/>
        <v>0</v>
      </c>
      <c r="AG86" s="17" t="str">
        <f t="shared" si="220"/>
        <v>-</v>
      </c>
      <c r="AH86" s="10"/>
      <c r="AI86" s="19"/>
      <c r="AJ86" s="13">
        <f t="shared" si="221"/>
        <v>0</v>
      </c>
      <c r="AK86" s="17" t="str">
        <f t="shared" si="222"/>
        <v>-</v>
      </c>
      <c r="AL86" s="10"/>
      <c r="AM86" s="18" t="str">
        <f t="shared" si="223"/>
        <v>-</v>
      </c>
      <c r="AN86" s="15"/>
      <c r="AO86" s="17">
        <f t="shared" si="208"/>
        <v>0</v>
      </c>
      <c r="AP86" s="10"/>
    </row>
    <row r="87" spans="1:42" ht="30.75" customHeight="1" x14ac:dyDescent="0.3">
      <c r="A87" s="10"/>
      <c r="B87" s="11"/>
      <c r="C87" s="12"/>
      <c r="D87" s="12"/>
      <c r="E87" s="10"/>
      <c r="F87" s="13" t="s">
        <v>76</v>
      </c>
      <c r="G87" s="14" t="s">
        <v>33</v>
      </c>
      <c r="H87" s="15"/>
      <c r="I87" s="16">
        <f t="shared" si="209"/>
        <v>0</v>
      </c>
      <c r="J87" s="10"/>
      <c r="K87" s="17">
        <f t="shared" si="210"/>
        <v>0</v>
      </c>
      <c r="L87" s="18"/>
      <c r="M87" s="17">
        <f t="shared" si="211"/>
        <v>0</v>
      </c>
      <c r="N87" s="19"/>
      <c r="O87" s="17">
        <f t="shared" si="212"/>
        <v>0</v>
      </c>
      <c r="P87" s="17">
        <f t="shared" si="195"/>
        <v>0</v>
      </c>
      <c r="Q87" s="18" t="str">
        <f t="shared" si="213"/>
        <v>-</v>
      </c>
      <c r="R87" s="10"/>
      <c r="S87" s="20"/>
      <c r="T87" s="16"/>
      <c r="U87" s="13" t="s">
        <v>35</v>
      </c>
      <c r="V87" s="17" t="str">
        <f t="shared" si="214"/>
        <v>-</v>
      </c>
      <c r="W87" s="17" t="str">
        <f t="shared" si="215"/>
        <v>-</v>
      </c>
      <c r="X87" s="16"/>
      <c r="Y87" s="18" t="str">
        <f t="shared" si="216"/>
        <v>-</v>
      </c>
      <c r="Z87" s="10"/>
      <c r="AA87" s="19"/>
      <c r="AB87" s="13">
        <f t="shared" si="217"/>
        <v>0</v>
      </c>
      <c r="AC87" s="17" t="str">
        <f t="shared" si="218"/>
        <v>-</v>
      </c>
      <c r="AD87" s="10"/>
      <c r="AE87" s="19"/>
      <c r="AF87" s="13">
        <f t="shared" si="219"/>
        <v>0</v>
      </c>
      <c r="AG87" s="17" t="str">
        <f t="shared" si="220"/>
        <v>-</v>
      </c>
      <c r="AH87" s="10"/>
      <c r="AI87" s="19"/>
      <c r="AJ87" s="13">
        <f t="shared" si="221"/>
        <v>0</v>
      </c>
      <c r="AK87" s="17" t="str">
        <f t="shared" si="222"/>
        <v>-</v>
      </c>
      <c r="AL87" s="10"/>
      <c r="AM87" s="18" t="str">
        <f t="shared" si="223"/>
        <v>-</v>
      </c>
      <c r="AN87" s="15"/>
      <c r="AO87" s="17">
        <f t="shared" si="208"/>
        <v>0</v>
      </c>
      <c r="AP87" s="10"/>
    </row>
    <row r="88" spans="1:42" ht="30.75" customHeight="1" x14ac:dyDescent="0.3">
      <c r="A88" s="10"/>
      <c r="B88" s="11"/>
      <c r="C88" s="12"/>
      <c r="D88" s="12"/>
      <c r="E88" s="10"/>
      <c r="F88" s="13" t="s">
        <v>76</v>
      </c>
      <c r="G88" s="14" t="s">
        <v>33</v>
      </c>
      <c r="H88" s="15"/>
      <c r="I88" s="16">
        <f t="shared" si="207"/>
        <v>0</v>
      </c>
      <c r="J88" s="10"/>
      <c r="K88" s="17">
        <f t="shared" si="192"/>
        <v>0</v>
      </c>
      <c r="L88" s="18"/>
      <c r="M88" s="17">
        <f t="shared" si="193"/>
        <v>0</v>
      </c>
      <c r="N88" s="19"/>
      <c r="O88" s="17">
        <f t="shared" si="194"/>
        <v>0</v>
      </c>
      <c r="P88" s="17">
        <f t="shared" si="195"/>
        <v>0</v>
      </c>
      <c r="Q88" s="18" t="str">
        <f t="shared" si="196"/>
        <v>-</v>
      </c>
      <c r="R88" s="10"/>
      <c r="S88" s="20"/>
      <c r="T88" s="16"/>
      <c r="U88" s="13" t="s">
        <v>35</v>
      </c>
      <c r="V88" s="17" t="str">
        <f t="shared" si="197"/>
        <v>-</v>
      </c>
      <c r="W88" s="17" t="str">
        <f t="shared" si="198"/>
        <v>-</v>
      </c>
      <c r="X88" s="16"/>
      <c r="Y88" s="18" t="str">
        <f t="shared" si="199"/>
        <v>-</v>
      </c>
      <c r="Z88" s="10"/>
      <c r="AA88" s="19"/>
      <c r="AB88" s="13">
        <f t="shared" si="200"/>
        <v>0</v>
      </c>
      <c r="AC88" s="17" t="str">
        <f t="shared" si="201"/>
        <v>-</v>
      </c>
      <c r="AD88" s="10"/>
      <c r="AE88" s="19"/>
      <c r="AF88" s="13">
        <f t="shared" si="202"/>
        <v>0</v>
      </c>
      <c r="AG88" s="17" t="str">
        <f t="shared" si="203"/>
        <v>-</v>
      </c>
      <c r="AH88" s="10"/>
      <c r="AI88" s="19"/>
      <c r="AJ88" s="13">
        <f t="shared" si="204"/>
        <v>0</v>
      </c>
      <c r="AK88" s="17" t="str">
        <f t="shared" si="205"/>
        <v>-</v>
      </c>
      <c r="AL88" s="10"/>
      <c r="AM88" s="18" t="str">
        <f t="shared" si="206"/>
        <v>-</v>
      </c>
      <c r="AN88" s="15"/>
      <c r="AO88" s="17">
        <f t="shared" si="208"/>
        <v>0</v>
      </c>
      <c r="AP88" s="10"/>
    </row>
    <row r="89" spans="1:42" ht="30.75" customHeight="1" x14ac:dyDescent="0.3">
      <c r="A89" s="10"/>
      <c r="B89" s="11"/>
      <c r="C89" s="12"/>
      <c r="D89" s="12"/>
      <c r="E89" s="10"/>
      <c r="F89" s="13" t="s">
        <v>76</v>
      </c>
      <c r="G89" s="14" t="s">
        <v>33</v>
      </c>
      <c r="H89" s="15"/>
      <c r="I89" s="16">
        <f t="shared" si="207"/>
        <v>0</v>
      </c>
      <c r="J89" s="10"/>
      <c r="K89" s="17">
        <f t="shared" si="192"/>
        <v>0</v>
      </c>
      <c r="L89" s="18"/>
      <c r="M89" s="17">
        <f t="shared" si="193"/>
        <v>0</v>
      </c>
      <c r="N89" s="19"/>
      <c r="O89" s="17">
        <f t="shared" si="194"/>
        <v>0</v>
      </c>
      <c r="P89" s="17">
        <f t="shared" si="195"/>
        <v>0</v>
      </c>
      <c r="Q89" s="18" t="str">
        <f t="shared" si="196"/>
        <v>-</v>
      </c>
      <c r="R89" s="10"/>
      <c r="S89" s="20"/>
      <c r="T89" s="16"/>
      <c r="U89" s="13" t="s">
        <v>35</v>
      </c>
      <c r="V89" s="17" t="str">
        <f t="shared" si="197"/>
        <v>-</v>
      </c>
      <c r="W89" s="17" t="str">
        <f t="shared" si="198"/>
        <v>-</v>
      </c>
      <c r="X89" s="16"/>
      <c r="Y89" s="18" t="str">
        <f t="shared" si="199"/>
        <v>-</v>
      </c>
      <c r="Z89" s="10"/>
      <c r="AA89" s="19"/>
      <c r="AB89" s="13">
        <f t="shared" si="200"/>
        <v>0</v>
      </c>
      <c r="AC89" s="17" t="str">
        <f t="shared" si="201"/>
        <v>-</v>
      </c>
      <c r="AD89" s="10"/>
      <c r="AE89" s="19"/>
      <c r="AF89" s="13">
        <f t="shared" si="202"/>
        <v>0</v>
      </c>
      <c r="AG89" s="17" t="str">
        <f t="shared" si="203"/>
        <v>-</v>
      </c>
      <c r="AH89" s="10"/>
      <c r="AI89" s="19"/>
      <c r="AJ89" s="13">
        <f t="shared" si="204"/>
        <v>0</v>
      </c>
      <c r="AK89" s="17" t="str">
        <f t="shared" si="205"/>
        <v>-</v>
      </c>
      <c r="AL89" s="10"/>
      <c r="AM89" s="18" t="str">
        <f t="shared" si="206"/>
        <v>-</v>
      </c>
      <c r="AN89" s="15"/>
      <c r="AO89" s="17">
        <f t="shared" si="208"/>
        <v>0</v>
      </c>
      <c r="AP89" s="10"/>
    </row>
    <row r="90" spans="1:42" ht="30.75" customHeight="1" x14ac:dyDescent="0.3">
      <c r="A90" s="10"/>
      <c r="B90" s="11"/>
      <c r="C90" s="12"/>
      <c r="D90" s="12"/>
      <c r="E90" s="10"/>
      <c r="F90" s="13" t="s">
        <v>76</v>
      </c>
      <c r="G90" s="14" t="s">
        <v>33</v>
      </c>
      <c r="H90" s="15"/>
      <c r="I90" s="16">
        <f t="shared" si="207"/>
        <v>0</v>
      </c>
      <c r="J90" s="10"/>
      <c r="K90" s="17">
        <f t="shared" si="192"/>
        <v>0</v>
      </c>
      <c r="L90" s="18"/>
      <c r="M90" s="17">
        <f t="shared" si="193"/>
        <v>0</v>
      </c>
      <c r="N90" s="19"/>
      <c r="O90" s="17">
        <f t="shared" si="194"/>
        <v>0</v>
      </c>
      <c r="P90" s="17">
        <f t="shared" si="195"/>
        <v>0</v>
      </c>
      <c r="Q90" s="18" t="str">
        <f t="shared" si="196"/>
        <v>-</v>
      </c>
      <c r="R90" s="10"/>
      <c r="S90" s="20"/>
      <c r="T90" s="16"/>
      <c r="U90" s="13" t="s">
        <v>35</v>
      </c>
      <c r="V90" s="17" t="str">
        <f t="shared" si="197"/>
        <v>-</v>
      </c>
      <c r="W90" s="17" t="str">
        <f t="shared" si="198"/>
        <v>-</v>
      </c>
      <c r="X90" s="16"/>
      <c r="Y90" s="18" t="str">
        <f t="shared" si="199"/>
        <v>-</v>
      </c>
      <c r="Z90" s="10"/>
      <c r="AA90" s="19"/>
      <c r="AB90" s="13">
        <f t="shared" si="200"/>
        <v>0</v>
      </c>
      <c r="AC90" s="17" t="str">
        <f t="shared" si="201"/>
        <v>-</v>
      </c>
      <c r="AD90" s="10"/>
      <c r="AE90" s="19"/>
      <c r="AF90" s="13">
        <f t="shared" si="202"/>
        <v>0</v>
      </c>
      <c r="AG90" s="17" t="str">
        <f t="shared" si="203"/>
        <v>-</v>
      </c>
      <c r="AH90" s="10"/>
      <c r="AI90" s="19"/>
      <c r="AJ90" s="13">
        <f t="shared" si="204"/>
        <v>0</v>
      </c>
      <c r="AK90" s="17" t="str">
        <f t="shared" si="205"/>
        <v>-</v>
      </c>
      <c r="AL90" s="10"/>
      <c r="AM90" s="18" t="str">
        <f t="shared" si="206"/>
        <v>-</v>
      </c>
      <c r="AN90" s="15"/>
      <c r="AO90" s="17">
        <f t="shared" si="208"/>
        <v>0</v>
      </c>
      <c r="AP90" s="10"/>
    </row>
    <row r="91" spans="1:42" ht="17.25" customHeight="1" x14ac:dyDescent="0.3">
      <c r="A91" s="22"/>
      <c r="B91" s="6" t="s">
        <v>34</v>
      </c>
      <c r="C91" s="9" t="s">
        <v>35</v>
      </c>
      <c r="D91" s="9" t="s">
        <v>35</v>
      </c>
      <c r="E91" s="22"/>
      <c r="F91" s="9" t="s">
        <v>35</v>
      </c>
      <c r="G91" s="6" t="s">
        <v>35</v>
      </c>
      <c r="H91" s="5" t="str">
        <f>IFERROR(K91/I91,"-")</f>
        <v>-</v>
      </c>
      <c r="I91" s="25">
        <f>IFERROR(SUM(I81:I90),"-")</f>
        <v>0</v>
      </c>
      <c r="J91" s="22"/>
      <c r="K91" s="23">
        <f>IFERROR(SUM(K81:K90),"-")</f>
        <v>0</v>
      </c>
      <c r="L91" s="6" t="s">
        <v>35</v>
      </c>
      <c r="M91" s="23">
        <f>IFERROR(SUM(M81:M90),"-")</f>
        <v>0</v>
      </c>
      <c r="N91" s="9" t="s">
        <v>35</v>
      </c>
      <c r="O91" s="23">
        <f>IFERROR(SUM(O81:O90),"-")</f>
        <v>0</v>
      </c>
      <c r="P91" s="23">
        <f t="shared" si="195"/>
        <v>0</v>
      </c>
      <c r="Q91" s="24">
        <v>0</v>
      </c>
      <c r="R91" s="22"/>
      <c r="S91" s="25">
        <f>IFERROR(SUM(S81:S90),"-")</f>
        <v>0</v>
      </c>
      <c r="T91" s="25" t="s">
        <v>35</v>
      </c>
      <c r="U91" s="25" t="s">
        <v>35</v>
      </c>
      <c r="V91" s="23" t="str">
        <f t="shared" si="197"/>
        <v>-</v>
      </c>
      <c r="W91" s="23" t="str">
        <f t="shared" si="198"/>
        <v>-</v>
      </c>
      <c r="X91" s="6" t="s">
        <v>35</v>
      </c>
      <c r="Y91" s="6" t="s">
        <v>35</v>
      </c>
      <c r="Z91" s="22"/>
      <c r="AA91" s="24" t="str">
        <f>IFERROR(AB91/S91,"-")</f>
        <v>-</v>
      </c>
      <c r="AB91" s="25">
        <f>IFERROR(SUM(AB81:AB90),"-")</f>
        <v>0</v>
      </c>
      <c r="AC91" s="23" t="str">
        <f t="shared" si="201"/>
        <v>-</v>
      </c>
      <c r="AD91" s="22"/>
      <c r="AE91" s="24" t="str">
        <f>IFERROR(AF91/AB91,"-")</f>
        <v>-</v>
      </c>
      <c r="AF91" s="25">
        <f>IFERROR(SUM(AF81:AF90),"-")</f>
        <v>0</v>
      </c>
      <c r="AG91" s="23" t="str">
        <f t="shared" si="203"/>
        <v>-</v>
      </c>
      <c r="AH91" s="22"/>
      <c r="AI91" s="24" t="str">
        <f>IFERROR(AJ91/AB91,"-")</f>
        <v>-</v>
      </c>
      <c r="AJ91" s="25">
        <v>0</v>
      </c>
      <c r="AK91" s="23" t="str">
        <f>IFERROR(L91/AJ91,"-")</f>
        <v>-</v>
      </c>
      <c r="AL91" s="22"/>
      <c r="AM91" s="24" t="str">
        <f t="shared" si="206"/>
        <v>-</v>
      </c>
      <c r="AN91" s="23" t="str">
        <f>IFERROR(AO91/AF91,"-")</f>
        <v>-</v>
      </c>
      <c r="AO91" s="23">
        <f>IFERROR(SUM(AO81:AO90),"-")</f>
        <v>0</v>
      </c>
      <c r="AP91" s="22"/>
    </row>
    <row r="92" spans="1:42" ht="15.75" customHeight="1" x14ac:dyDescent="0.3">
      <c r="A92" s="33"/>
      <c r="B92" s="34"/>
      <c r="C92" s="34"/>
      <c r="D92" s="34"/>
      <c r="E92" s="33"/>
      <c r="F92" s="34"/>
      <c r="G92" s="34"/>
      <c r="H92" s="34"/>
      <c r="I92" s="34"/>
      <c r="J92" s="33"/>
      <c r="K92" s="34"/>
      <c r="L92" s="34"/>
      <c r="M92" s="34"/>
      <c r="N92" s="34"/>
      <c r="O92" s="34"/>
      <c r="P92" s="34"/>
      <c r="Q92" s="34"/>
      <c r="R92" s="33"/>
      <c r="S92" s="34"/>
      <c r="T92" s="34"/>
      <c r="U92" s="34"/>
      <c r="V92" s="34"/>
      <c r="W92" s="34"/>
      <c r="X92" s="34"/>
      <c r="Y92" s="34"/>
      <c r="Z92" s="33"/>
      <c r="AA92" s="34"/>
      <c r="AB92" s="34"/>
      <c r="AC92" s="34"/>
      <c r="AD92" s="33"/>
      <c r="AE92" s="34"/>
      <c r="AF92" s="34"/>
      <c r="AG92" s="34"/>
      <c r="AH92" s="33"/>
      <c r="AI92" s="34"/>
      <c r="AJ92" s="34"/>
      <c r="AK92" s="34"/>
      <c r="AL92" s="33"/>
      <c r="AM92" s="34"/>
      <c r="AN92" s="34"/>
      <c r="AO92" s="34"/>
      <c r="AP92" s="33"/>
    </row>
    <row r="93" spans="1:42" ht="51.75" customHeight="1" x14ac:dyDescent="0.3">
      <c r="A93" s="1"/>
      <c r="B93" s="2" t="s">
        <v>0</v>
      </c>
      <c r="C93" s="35" t="s">
        <v>1</v>
      </c>
      <c r="D93" s="35" t="s">
        <v>2</v>
      </c>
      <c r="E93" s="1"/>
      <c r="F93" s="3" t="s">
        <v>3</v>
      </c>
      <c r="G93" s="2" t="s">
        <v>66</v>
      </c>
      <c r="H93" s="35" t="s">
        <v>67</v>
      </c>
      <c r="I93" s="2" t="s">
        <v>68</v>
      </c>
      <c r="J93" s="1"/>
      <c r="K93" s="4" t="s">
        <v>7</v>
      </c>
      <c r="L93" s="3" t="s">
        <v>8</v>
      </c>
      <c r="M93" s="4" t="s">
        <v>9</v>
      </c>
      <c r="N93" s="3" t="s">
        <v>10</v>
      </c>
      <c r="O93" s="5" t="s">
        <v>11</v>
      </c>
      <c r="P93" s="5" t="s">
        <v>12</v>
      </c>
      <c r="Q93" s="4" t="s">
        <v>13</v>
      </c>
      <c r="R93" s="1"/>
      <c r="S93" s="2" t="s">
        <v>14</v>
      </c>
      <c r="T93" s="2" t="s">
        <v>15</v>
      </c>
      <c r="U93" s="2" t="s">
        <v>16</v>
      </c>
      <c r="V93" s="2" t="s">
        <v>17</v>
      </c>
      <c r="W93" s="2" t="s">
        <v>18</v>
      </c>
      <c r="X93" s="2" t="s">
        <v>19</v>
      </c>
      <c r="Y93" s="2" t="s">
        <v>20</v>
      </c>
      <c r="Z93" s="1"/>
      <c r="AA93" s="6" t="s">
        <v>21</v>
      </c>
      <c r="AB93" s="7" t="s">
        <v>22</v>
      </c>
      <c r="AC93" s="7" t="s">
        <v>23</v>
      </c>
      <c r="AD93" s="1"/>
      <c r="AE93" s="6" t="s">
        <v>24</v>
      </c>
      <c r="AF93" s="8" t="s">
        <v>25</v>
      </c>
      <c r="AG93" s="8" t="s">
        <v>26</v>
      </c>
      <c r="AH93" s="1"/>
      <c r="AI93" s="9" t="s">
        <v>27</v>
      </c>
      <c r="AJ93" s="8" t="s">
        <v>28</v>
      </c>
      <c r="AK93" s="8" t="s">
        <v>56</v>
      </c>
      <c r="AL93" s="1"/>
      <c r="AM93" s="9" t="s">
        <v>30</v>
      </c>
      <c r="AN93" s="8" t="s">
        <v>31</v>
      </c>
      <c r="AO93" s="8" t="s">
        <v>32</v>
      </c>
      <c r="AP93" s="1"/>
    </row>
    <row r="94" spans="1:42" ht="30.75" customHeight="1" x14ac:dyDescent="0.3">
      <c r="A94" s="10"/>
      <c r="B94" s="11"/>
      <c r="C94" s="12"/>
      <c r="D94" s="12"/>
      <c r="E94" s="10"/>
      <c r="F94" s="13" t="s">
        <v>77</v>
      </c>
      <c r="G94" s="14" t="s">
        <v>33</v>
      </c>
      <c r="H94" s="15"/>
      <c r="I94" s="16">
        <f>IFERROR(S94*AA94,"-")</f>
        <v>0</v>
      </c>
      <c r="J94" s="10"/>
      <c r="K94" s="17">
        <f t="shared" ref="K94:K103" si="224">IFERROR((H94*I94),"-")</f>
        <v>0</v>
      </c>
      <c r="L94" s="18"/>
      <c r="M94" s="17">
        <f t="shared" ref="M94:M103" si="225">IFERROR(K94*(1-L94),"-")</f>
        <v>0</v>
      </c>
      <c r="N94" s="19"/>
      <c r="O94" s="17">
        <f t="shared" ref="O94:O103" si="226">IFERROR(M94*(1+N94),"-")</f>
        <v>0</v>
      </c>
      <c r="P94" s="17">
        <f t="shared" ref="P94:P104" si="227">IFERROR(O94*1.22,"-")</f>
        <v>0</v>
      </c>
      <c r="Q94" s="18" t="str">
        <f t="shared" ref="Q94:Q103" si="228">IFERROR(P94/$P$13,"-")</f>
        <v>-</v>
      </c>
      <c r="R94" s="10"/>
      <c r="S94" s="20"/>
      <c r="T94" s="16"/>
      <c r="U94" s="13" t="s">
        <v>35</v>
      </c>
      <c r="V94" s="17" t="str">
        <f t="shared" ref="V94:V104" si="229">IFERROR(P94/S94*1000,"-")</f>
        <v>-</v>
      </c>
      <c r="W94" s="17" t="str">
        <f t="shared" ref="W94:W104" si="230">IFERROR(P94/U94*1000,"-")</f>
        <v>-</v>
      </c>
      <c r="X94" s="16"/>
      <c r="Y94" s="18" t="str">
        <f t="shared" ref="Y94:Y103" si="231">IFERROR(U94/X94,"-")</f>
        <v>-</v>
      </c>
      <c r="Z94" s="10"/>
      <c r="AA94" s="19"/>
      <c r="AB94" s="13">
        <f t="shared" ref="AB94:AB103" si="232">IFERROR(ROUNDDOWN(S94*AA94,0),"-")</f>
        <v>0</v>
      </c>
      <c r="AC94" s="17" t="str">
        <f t="shared" ref="AC94:AC104" si="233">IFERROR(P94/AB94,"-")</f>
        <v>-</v>
      </c>
      <c r="AD94" s="10"/>
      <c r="AE94" s="19"/>
      <c r="AF94" s="13">
        <f t="shared" ref="AF94:AF103" si="234">IF(G94="CPI",AJ94*AE94,IFERROR(ROUNDDOWN(AB94*AE94,0),"-"))</f>
        <v>0</v>
      </c>
      <c r="AG94" s="17" t="str">
        <f t="shared" ref="AG94:AG104" si="235">IFERROR(P94/AF94,"-")</f>
        <v>-</v>
      </c>
      <c r="AH94" s="10"/>
      <c r="AI94" s="19"/>
      <c r="AJ94" s="13">
        <f t="shared" ref="AJ94:AJ103" si="236">IF(G94="CPI",I94,0)</f>
        <v>0</v>
      </c>
      <c r="AK94" s="17" t="str">
        <f t="shared" ref="AK94:AK103" si="237">IFERROR(P94/AJ94,"-")</f>
        <v>-</v>
      </c>
      <c r="AL94" s="10"/>
      <c r="AM94" s="18" t="str">
        <f t="shared" ref="AM94:AM104" si="238">IFERROR(P94/AO94,"-")</f>
        <v>-</v>
      </c>
      <c r="AN94" s="15"/>
      <c r="AO94" s="17">
        <f>AN94*AF94</f>
        <v>0</v>
      </c>
      <c r="AP94" s="10"/>
    </row>
    <row r="95" spans="1:42" ht="30.75" customHeight="1" x14ac:dyDescent="0.3">
      <c r="A95" s="10"/>
      <c r="B95" s="11"/>
      <c r="C95" s="12"/>
      <c r="D95" s="12"/>
      <c r="E95" s="10"/>
      <c r="F95" s="13" t="s">
        <v>77</v>
      </c>
      <c r="G95" s="14" t="s">
        <v>33</v>
      </c>
      <c r="H95" s="15"/>
      <c r="I95" s="16">
        <f t="shared" ref="I95:I103" si="239">IFERROR(S95*AA95,"-")</f>
        <v>0</v>
      </c>
      <c r="J95" s="10"/>
      <c r="K95" s="17">
        <f t="shared" si="224"/>
        <v>0</v>
      </c>
      <c r="L95" s="18"/>
      <c r="M95" s="17">
        <f t="shared" si="225"/>
        <v>0</v>
      </c>
      <c r="N95" s="19"/>
      <c r="O95" s="17">
        <f t="shared" si="226"/>
        <v>0</v>
      </c>
      <c r="P95" s="17">
        <f t="shared" si="227"/>
        <v>0</v>
      </c>
      <c r="Q95" s="18" t="str">
        <f t="shared" si="228"/>
        <v>-</v>
      </c>
      <c r="R95" s="10"/>
      <c r="S95" s="20"/>
      <c r="T95" s="16"/>
      <c r="U95" s="13" t="s">
        <v>35</v>
      </c>
      <c r="V95" s="17" t="str">
        <f t="shared" si="229"/>
        <v>-</v>
      </c>
      <c r="W95" s="17" t="str">
        <f t="shared" si="230"/>
        <v>-</v>
      </c>
      <c r="X95" s="16"/>
      <c r="Y95" s="18" t="str">
        <f t="shared" si="231"/>
        <v>-</v>
      </c>
      <c r="Z95" s="10"/>
      <c r="AA95" s="19"/>
      <c r="AB95" s="13">
        <f t="shared" si="232"/>
        <v>0</v>
      </c>
      <c r="AC95" s="17" t="str">
        <f t="shared" si="233"/>
        <v>-</v>
      </c>
      <c r="AD95" s="10"/>
      <c r="AE95" s="19"/>
      <c r="AF95" s="13">
        <f t="shared" si="234"/>
        <v>0</v>
      </c>
      <c r="AG95" s="17" t="str">
        <f t="shared" si="235"/>
        <v>-</v>
      </c>
      <c r="AH95" s="10"/>
      <c r="AI95" s="19"/>
      <c r="AJ95" s="13">
        <f t="shared" si="236"/>
        <v>0</v>
      </c>
      <c r="AK95" s="17" t="str">
        <f t="shared" si="237"/>
        <v>-</v>
      </c>
      <c r="AL95" s="10"/>
      <c r="AM95" s="18" t="str">
        <f t="shared" si="238"/>
        <v>-</v>
      </c>
      <c r="AN95" s="15"/>
      <c r="AO95" s="17">
        <f t="shared" ref="AO95:AO103" si="240">AN95*AF95</f>
        <v>0</v>
      </c>
      <c r="AP95" s="10"/>
    </row>
    <row r="96" spans="1:42" ht="30.75" customHeight="1" x14ac:dyDescent="0.3">
      <c r="A96" s="10"/>
      <c r="B96" s="11"/>
      <c r="C96" s="12"/>
      <c r="D96" s="12"/>
      <c r="E96" s="10"/>
      <c r="F96" s="13" t="s">
        <v>77</v>
      </c>
      <c r="G96" s="14" t="s">
        <v>33</v>
      </c>
      <c r="H96" s="15"/>
      <c r="I96" s="16">
        <f t="shared" ref="I96:I100" si="241">IFERROR(S96*AA96,"-")</f>
        <v>0</v>
      </c>
      <c r="J96" s="10"/>
      <c r="K96" s="17">
        <f t="shared" ref="K96:K100" si="242">IFERROR((H96*I96),"-")</f>
        <v>0</v>
      </c>
      <c r="L96" s="18"/>
      <c r="M96" s="17">
        <f t="shared" ref="M96:M100" si="243">IFERROR(K96*(1-L96),"-")</f>
        <v>0</v>
      </c>
      <c r="N96" s="19"/>
      <c r="O96" s="17">
        <f t="shared" ref="O96:O100" si="244">IFERROR(M96*(1+N96),"-")</f>
        <v>0</v>
      </c>
      <c r="P96" s="17">
        <f t="shared" si="227"/>
        <v>0</v>
      </c>
      <c r="Q96" s="18" t="str">
        <f t="shared" ref="Q96:Q100" si="245">IFERROR(P96/$P$13,"-")</f>
        <v>-</v>
      </c>
      <c r="R96" s="10"/>
      <c r="S96" s="20"/>
      <c r="T96" s="16"/>
      <c r="U96" s="13" t="s">
        <v>35</v>
      </c>
      <c r="V96" s="17" t="str">
        <f t="shared" ref="V96:V100" si="246">IFERROR(P96/S96*1000,"-")</f>
        <v>-</v>
      </c>
      <c r="W96" s="17" t="str">
        <f t="shared" ref="W96:W100" si="247">IFERROR(P96/U96*1000,"-")</f>
        <v>-</v>
      </c>
      <c r="X96" s="16"/>
      <c r="Y96" s="18" t="str">
        <f t="shared" ref="Y96:Y100" si="248">IFERROR(U96/X96,"-")</f>
        <v>-</v>
      </c>
      <c r="Z96" s="10"/>
      <c r="AA96" s="19"/>
      <c r="AB96" s="13">
        <f t="shared" ref="AB96:AB100" si="249">IFERROR(ROUNDDOWN(S96*AA96,0),"-")</f>
        <v>0</v>
      </c>
      <c r="AC96" s="17" t="str">
        <f t="shared" ref="AC96:AC100" si="250">IFERROR(P96/AB96,"-")</f>
        <v>-</v>
      </c>
      <c r="AD96" s="10"/>
      <c r="AE96" s="19"/>
      <c r="AF96" s="13">
        <f t="shared" ref="AF96:AF100" si="251">IF(G96="CPI",AJ96*AE96,IFERROR(ROUNDDOWN(AB96*AE96,0),"-"))</f>
        <v>0</v>
      </c>
      <c r="AG96" s="17" t="str">
        <f t="shared" ref="AG96:AG100" si="252">IFERROR(P96/AF96,"-")</f>
        <v>-</v>
      </c>
      <c r="AH96" s="10"/>
      <c r="AI96" s="19"/>
      <c r="AJ96" s="13">
        <f t="shared" ref="AJ96:AJ100" si="253">IF(G96="CPI",I96,0)</f>
        <v>0</v>
      </c>
      <c r="AK96" s="17" t="str">
        <f t="shared" ref="AK96:AK100" si="254">IFERROR(P96/AJ96,"-")</f>
        <v>-</v>
      </c>
      <c r="AL96" s="10"/>
      <c r="AM96" s="18" t="str">
        <f t="shared" ref="AM96:AM100" si="255">IFERROR(P96/AO96,"-")</f>
        <v>-</v>
      </c>
      <c r="AN96" s="15"/>
      <c r="AO96" s="17">
        <f t="shared" si="240"/>
        <v>0</v>
      </c>
      <c r="AP96" s="10"/>
    </row>
    <row r="97" spans="1:42" ht="30.75" customHeight="1" x14ac:dyDescent="0.3">
      <c r="A97" s="10"/>
      <c r="B97" s="11"/>
      <c r="C97" s="12"/>
      <c r="D97" s="12"/>
      <c r="E97" s="10"/>
      <c r="F97" s="13" t="s">
        <v>77</v>
      </c>
      <c r="G97" s="14" t="s">
        <v>33</v>
      </c>
      <c r="H97" s="15"/>
      <c r="I97" s="16">
        <f t="shared" si="241"/>
        <v>0</v>
      </c>
      <c r="J97" s="10"/>
      <c r="K97" s="17">
        <f t="shared" si="242"/>
        <v>0</v>
      </c>
      <c r="L97" s="18"/>
      <c r="M97" s="17">
        <f t="shared" si="243"/>
        <v>0</v>
      </c>
      <c r="N97" s="19"/>
      <c r="O97" s="17">
        <f t="shared" si="244"/>
        <v>0</v>
      </c>
      <c r="P97" s="17">
        <f t="shared" si="227"/>
        <v>0</v>
      </c>
      <c r="Q97" s="18" t="str">
        <f t="shared" si="245"/>
        <v>-</v>
      </c>
      <c r="R97" s="10"/>
      <c r="S97" s="20"/>
      <c r="T97" s="16"/>
      <c r="U97" s="13" t="s">
        <v>35</v>
      </c>
      <c r="V97" s="17" t="str">
        <f t="shared" si="246"/>
        <v>-</v>
      </c>
      <c r="W97" s="17" t="str">
        <f t="shared" si="247"/>
        <v>-</v>
      </c>
      <c r="X97" s="16"/>
      <c r="Y97" s="18" t="str">
        <f t="shared" si="248"/>
        <v>-</v>
      </c>
      <c r="Z97" s="10"/>
      <c r="AA97" s="19"/>
      <c r="AB97" s="13">
        <f t="shared" si="249"/>
        <v>0</v>
      </c>
      <c r="AC97" s="17" t="str">
        <f t="shared" si="250"/>
        <v>-</v>
      </c>
      <c r="AD97" s="10"/>
      <c r="AE97" s="19"/>
      <c r="AF97" s="13">
        <f t="shared" si="251"/>
        <v>0</v>
      </c>
      <c r="AG97" s="17" t="str">
        <f t="shared" si="252"/>
        <v>-</v>
      </c>
      <c r="AH97" s="10"/>
      <c r="AI97" s="19"/>
      <c r="AJ97" s="13">
        <f t="shared" si="253"/>
        <v>0</v>
      </c>
      <c r="AK97" s="17" t="str">
        <f t="shared" si="254"/>
        <v>-</v>
      </c>
      <c r="AL97" s="10"/>
      <c r="AM97" s="18" t="str">
        <f t="shared" si="255"/>
        <v>-</v>
      </c>
      <c r="AN97" s="15"/>
      <c r="AO97" s="17">
        <f t="shared" si="240"/>
        <v>0</v>
      </c>
      <c r="AP97" s="10"/>
    </row>
    <row r="98" spans="1:42" ht="30.75" customHeight="1" x14ac:dyDescent="0.3">
      <c r="A98" s="10"/>
      <c r="B98" s="11"/>
      <c r="C98" s="12"/>
      <c r="D98" s="12"/>
      <c r="E98" s="10"/>
      <c r="F98" s="13" t="s">
        <v>77</v>
      </c>
      <c r="G98" s="14" t="s">
        <v>33</v>
      </c>
      <c r="H98" s="15"/>
      <c r="I98" s="16">
        <f t="shared" si="241"/>
        <v>0</v>
      </c>
      <c r="J98" s="10"/>
      <c r="K98" s="17">
        <f t="shared" si="242"/>
        <v>0</v>
      </c>
      <c r="L98" s="18"/>
      <c r="M98" s="17">
        <f t="shared" si="243"/>
        <v>0</v>
      </c>
      <c r="N98" s="19"/>
      <c r="O98" s="17">
        <f t="shared" si="244"/>
        <v>0</v>
      </c>
      <c r="P98" s="17">
        <f t="shared" si="227"/>
        <v>0</v>
      </c>
      <c r="Q98" s="18" t="str">
        <f t="shared" si="245"/>
        <v>-</v>
      </c>
      <c r="R98" s="10"/>
      <c r="S98" s="20"/>
      <c r="T98" s="16"/>
      <c r="U98" s="13" t="s">
        <v>35</v>
      </c>
      <c r="V98" s="17" t="str">
        <f t="shared" si="246"/>
        <v>-</v>
      </c>
      <c r="W98" s="17" t="str">
        <f t="shared" si="247"/>
        <v>-</v>
      </c>
      <c r="X98" s="16"/>
      <c r="Y98" s="18" t="str">
        <f t="shared" si="248"/>
        <v>-</v>
      </c>
      <c r="Z98" s="10"/>
      <c r="AA98" s="19"/>
      <c r="AB98" s="13">
        <f t="shared" si="249"/>
        <v>0</v>
      </c>
      <c r="AC98" s="17" t="str">
        <f t="shared" si="250"/>
        <v>-</v>
      </c>
      <c r="AD98" s="10"/>
      <c r="AE98" s="19"/>
      <c r="AF98" s="13">
        <f t="shared" si="251"/>
        <v>0</v>
      </c>
      <c r="AG98" s="17" t="str">
        <f t="shared" si="252"/>
        <v>-</v>
      </c>
      <c r="AH98" s="10"/>
      <c r="AI98" s="19"/>
      <c r="AJ98" s="13">
        <f t="shared" si="253"/>
        <v>0</v>
      </c>
      <c r="AK98" s="17" t="str">
        <f t="shared" si="254"/>
        <v>-</v>
      </c>
      <c r="AL98" s="10"/>
      <c r="AM98" s="18" t="str">
        <f t="shared" si="255"/>
        <v>-</v>
      </c>
      <c r="AN98" s="15"/>
      <c r="AO98" s="17">
        <f t="shared" si="240"/>
        <v>0</v>
      </c>
      <c r="AP98" s="10"/>
    </row>
    <row r="99" spans="1:42" ht="30.75" customHeight="1" x14ac:dyDescent="0.3">
      <c r="A99" s="10"/>
      <c r="B99" s="11"/>
      <c r="C99" s="12"/>
      <c r="D99" s="12"/>
      <c r="E99" s="10"/>
      <c r="F99" s="13" t="s">
        <v>77</v>
      </c>
      <c r="G99" s="14" t="s">
        <v>33</v>
      </c>
      <c r="H99" s="15"/>
      <c r="I99" s="16">
        <f t="shared" si="241"/>
        <v>0</v>
      </c>
      <c r="J99" s="10"/>
      <c r="K99" s="17">
        <f t="shared" si="242"/>
        <v>0</v>
      </c>
      <c r="L99" s="18"/>
      <c r="M99" s="17">
        <f t="shared" si="243"/>
        <v>0</v>
      </c>
      <c r="N99" s="19"/>
      <c r="O99" s="17">
        <f t="shared" si="244"/>
        <v>0</v>
      </c>
      <c r="P99" s="17">
        <f t="shared" si="227"/>
        <v>0</v>
      </c>
      <c r="Q99" s="18" t="str">
        <f t="shared" si="245"/>
        <v>-</v>
      </c>
      <c r="R99" s="10"/>
      <c r="S99" s="20"/>
      <c r="T99" s="16"/>
      <c r="U99" s="13" t="s">
        <v>35</v>
      </c>
      <c r="V99" s="17" t="str">
        <f t="shared" si="246"/>
        <v>-</v>
      </c>
      <c r="W99" s="17" t="str">
        <f t="shared" si="247"/>
        <v>-</v>
      </c>
      <c r="X99" s="16"/>
      <c r="Y99" s="18" t="str">
        <f t="shared" si="248"/>
        <v>-</v>
      </c>
      <c r="Z99" s="10"/>
      <c r="AA99" s="19"/>
      <c r="AB99" s="13">
        <f t="shared" si="249"/>
        <v>0</v>
      </c>
      <c r="AC99" s="17" t="str">
        <f t="shared" si="250"/>
        <v>-</v>
      </c>
      <c r="AD99" s="10"/>
      <c r="AE99" s="19"/>
      <c r="AF99" s="13">
        <f t="shared" si="251"/>
        <v>0</v>
      </c>
      <c r="AG99" s="17" t="str">
        <f t="shared" si="252"/>
        <v>-</v>
      </c>
      <c r="AH99" s="10"/>
      <c r="AI99" s="19"/>
      <c r="AJ99" s="13">
        <f t="shared" si="253"/>
        <v>0</v>
      </c>
      <c r="AK99" s="17" t="str">
        <f t="shared" si="254"/>
        <v>-</v>
      </c>
      <c r="AL99" s="10"/>
      <c r="AM99" s="18" t="str">
        <f t="shared" si="255"/>
        <v>-</v>
      </c>
      <c r="AN99" s="15"/>
      <c r="AO99" s="17">
        <f t="shared" si="240"/>
        <v>0</v>
      </c>
      <c r="AP99" s="10"/>
    </row>
    <row r="100" spans="1:42" ht="30.75" customHeight="1" x14ac:dyDescent="0.3">
      <c r="A100" s="10"/>
      <c r="B100" s="11"/>
      <c r="C100" s="12"/>
      <c r="D100" s="12"/>
      <c r="E100" s="10"/>
      <c r="F100" s="13" t="s">
        <v>77</v>
      </c>
      <c r="G100" s="14" t="s">
        <v>33</v>
      </c>
      <c r="H100" s="15"/>
      <c r="I100" s="16">
        <f t="shared" si="241"/>
        <v>0</v>
      </c>
      <c r="J100" s="10"/>
      <c r="K100" s="17">
        <f t="shared" si="242"/>
        <v>0</v>
      </c>
      <c r="L100" s="18"/>
      <c r="M100" s="17">
        <f t="shared" si="243"/>
        <v>0</v>
      </c>
      <c r="N100" s="19"/>
      <c r="O100" s="17">
        <f t="shared" si="244"/>
        <v>0</v>
      </c>
      <c r="P100" s="17">
        <f t="shared" si="227"/>
        <v>0</v>
      </c>
      <c r="Q100" s="18" t="str">
        <f t="shared" si="245"/>
        <v>-</v>
      </c>
      <c r="R100" s="10"/>
      <c r="S100" s="20"/>
      <c r="T100" s="16"/>
      <c r="U100" s="13" t="s">
        <v>35</v>
      </c>
      <c r="V100" s="17" t="str">
        <f t="shared" si="246"/>
        <v>-</v>
      </c>
      <c r="W100" s="17" t="str">
        <f t="shared" si="247"/>
        <v>-</v>
      </c>
      <c r="X100" s="16"/>
      <c r="Y100" s="18" t="str">
        <f t="shared" si="248"/>
        <v>-</v>
      </c>
      <c r="Z100" s="10"/>
      <c r="AA100" s="19"/>
      <c r="AB100" s="13">
        <f t="shared" si="249"/>
        <v>0</v>
      </c>
      <c r="AC100" s="17" t="str">
        <f t="shared" si="250"/>
        <v>-</v>
      </c>
      <c r="AD100" s="10"/>
      <c r="AE100" s="19"/>
      <c r="AF100" s="13">
        <f t="shared" si="251"/>
        <v>0</v>
      </c>
      <c r="AG100" s="17" t="str">
        <f t="shared" si="252"/>
        <v>-</v>
      </c>
      <c r="AH100" s="10"/>
      <c r="AI100" s="19"/>
      <c r="AJ100" s="13">
        <f t="shared" si="253"/>
        <v>0</v>
      </c>
      <c r="AK100" s="17" t="str">
        <f t="shared" si="254"/>
        <v>-</v>
      </c>
      <c r="AL100" s="10"/>
      <c r="AM100" s="18" t="str">
        <f t="shared" si="255"/>
        <v>-</v>
      </c>
      <c r="AN100" s="15"/>
      <c r="AO100" s="17">
        <f t="shared" si="240"/>
        <v>0</v>
      </c>
      <c r="AP100" s="10"/>
    </row>
    <row r="101" spans="1:42" ht="30.75" customHeight="1" x14ac:dyDescent="0.3">
      <c r="A101" s="10"/>
      <c r="B101" s="11"/>
      <c r="C101" s="12"/>
      <c r="D101" s="12"/>
      <c r="E101" s="10"/>
      <c r="F101" s="13" t="s">
        <v>77</v>
      </c>
      <c r="G101" s="14" t="s">
        <v>33</v>
      </c>
      <c r="H101" s="15"/>
      <c r="I101" s="16">
        <f t="shared" si="239"/>
        <v>0</v>
      </c>
      <c r="J101" s="10"/>
      <c r="K101" s="17">
        <f t="shared" si="224"/>
        <v>0</v>
      </c>
      <c r="L101" s="18"/>
      <c r="M101" s="17">
        <f t="shared" si="225"/>
        <v>0</v>
      </c>
      <c r="N101" s="19"/>
      <c r="O101" s="17">
        <f t="shared" si="226"/>
        <v>0</v>
      </c>
      <c r="P101" s="17">
        <f t="shared" si="227"/>
        <v>0</v>
      </c>
      <c r="Q101" s="18" t="str">
        <f t="shared" si="228"/>
        <v>-</v>
      </c>
      <c r="R101" s="10"/>
      <c r="S101" s="20"/>
      <c r="T101" s="16"/>
      <c r="U101" s="13" t="s">
        <v>35</v>
      </c>
      <c r="V101" s="17" t="str">
        <f t="shared" si="229"/>
        <v>-</v>
      </c>
      <c r="W101" s="17" t="str">
        <f t="shared" si="230"/>
        <v>-</v>
      </c>
      <c r="X101" s="16"/>
      <c r="Y101" s="18" t="str">
        <f t="shared" si="231"/>
        <v>-</v>
      </c>
      <c r="Z101" s="10"/>
      <c r="AA101" s="19"/>
      <c r="AB101" s="13">
        <f t="shared" si="232"/>
        <v>0</v>
      </c>
      <c r="AC101" s="17" t="str">
        <f t="shared" si="233"/>
        <v>-</v>
      </c>
      <c r="AD101" s="10"/>
      <c r="AE101" s="19"/>
      <c r="AF101" s="13">
        <f t="shared" si="234"/>
        <v>0</v>
      </c>
      <c r="AG101" s="17" t="str">
        <f t="shared" si="235"/>
        <v>-</v>
      </c>
      <c r="AH101" s="10"/>
      <c r="AI101" s="19"/>
      <c r="AJ101" s="13">
        <f t="shared" si="236"/>
        <v>0</v>
      </c>
      <c r="AK101" s="17" t="str">
        <f t="shared" si="237"/>
        <v>-</v>
      </c>
      <c r="AL101" s="10"/>
      <c r="AM101" s="18" t="str">
        <f t="shared" si="238"/>
        <v>-</v>
      </c>
      <c r="AN101" s="15"/>
      <c r="AO101" s="17">
        <f t="shared" si="240"/>
        <v>0</v>
      </c>
      <c r="AP101" s="10"/>
    </row>
    <row r="102" spans="1:42" ht="30.75" customHeight="1" x14ac:dyDescent="0.3">
      <c r="A102" s="10"/>
      <c r="B102" s="11"/>
      <c r="C102" s="12"/>
      <c r="D102" s="12"/>
      <c r="E102" s="10"/>
      <c r="F102" s="13" t="s">
        <v>77</v>
      </c>
      <c r="G102" s="14" t="s">
        <v>33</v>
      </c>
      <c r="H102" s="15"/>
      <c r="I102" s="16">
        <f t="shared" si="239"/>
        <v>0</v>
      </c>
      <c r="J102" s="10"/>
      <c r="K102" s="17">
        <f t="shared" si="224"/>
        <v>0</v>
      </c>
      <c r="L102" s="18"/>
      <c r="M102" s="17">
        <f t="shared" si="225"/>
        <v>0</v>
      </c>
      <c r="N102" s="19"/>
      <c r="O102" s="17">
        <f t="shared" si="226"/>
        <v>0</v>
      </c>
      <c r="P102" s="17">
        <f t="shared" si="227"/>
        <v>0</v>
      </c>
      <c r="Q102" s="18" t="str">
        <f t="shared" si="228"/>
        <v>-</v>
      </c>
      <c r="R102" s="10"/>
      <c r="S102" s="20"/>
      <c r="T102" s="16"/>
      <c r="U102" s="13" t="s">
        <v>35</v>
      </c>
      <c r="V102" s="17" t="str">
        <f t="shared" si="229"/>
        <v>-</v>
      </c>
      <c r="W102" s="17" t="str">
        <f t="shared" si="230"/>
        <v>-</v>
      </c>
      <c r="X102" s="16"/>
      <c r="Y102" s="18" t="str">
        <f t="shared" si="231"/>
        <v>-</v>
      </c>
      <c r="Z102" s="10"/>
      <c r="AA102" s="19"/>
      <c r="AB102" s="13">
        <f t="shared" si="232"/>
        <v>0</v>
      </c>
      <c r="AC102" s="17" t="str">
        <f t="shared" si="233"/>
        <v>-</v>
      </c>
      <c r="AD102" s="10"/>
      <c r="AE102" s="19"/>
      <c r="AF102" s="13">
        <f t="shared" si="234"/>
        <v>0</v>
      </c>
      <c r="AG102" s="17" t="str">
        <f t="shared" si="235"/>
        <v>-</v>
      </c>
      <c r="AH102" s="10"/>
      <c r="AI102" s="19"/>
      <c r="AJ102" s="13">
        <f t="shared" si="236"/>
        <v>0</v>
      </c>
      <c r="AK102" s="17" t="str">
        <f t="shared" si="237"/>
        <v>-</v>
      </c>
      <c r="AL102" s="10"/>
      <c r="AM102" s="18" t="str">
        <f t="shared" si="238"/>
        <v>-</v>
      </c>
      <c r="AN102" s="15"/>
      <c r="AO102" s="17">
        <f t="shared" si="240"/>
        <v>0</v>
      </c>
      <c r="AP102" s="10"/>
    </row>
    <row r="103" spans="1:42" ht="30.75" customHeight="1" x14ac:dyDescent="0.3">
      <c r="A103" s="10"/>
      <c r="B103" s="11"/>
      <c r="C103" s="12"/>
      <c r="D103" s="12"/>
      <c r="E103" s="10"/>
      <c r="F103" s="13" t="s">
        <v>77</v>
      </c>
      <c r="G103" s="14" t="s">
        <v>33</v>
      </c>
      <c r="H103" s="15"/>
      <c r="I103" s="16">
        <f t="shared" si="239"/>
        <v>0</v>
      </c>
      <c r="J103" s="10"/>
      <c r="K103" s="17">
        <f t="shared" si="224"/>
        <v>0</v>
      </c>
      <c r="L103" s="18"/>
      <c r="M103" s="17">
        <f t="shared" si="225"/>
        <v>0</v>
      </c>
      <c r="N103" s="19"/>
      <c r="O103" s="17">
        <f t="shared" si="226"/>
        <v>0</v>
      </c>
      <c r="P103" s="17">
        <f t="shared" si="227"/>
        <v>0</v>
      </c>
      <c r="Q103" s="18" t="str">
        <f t="shared" si="228"/>
        <v>-</v>
      </c>
      <c r="R103" s="10"/>
      <c r="S103" s="20"/>
      <c r="T103" s="16"/>
      <c r="U103" s="13" t="s">
        <v>35</v>
      </c>
      <c r="V103" s="17" t="str">
        <f t="shared" si="229"/>
        <v>-</v>
      </c>
      <c r="W103" s="17" t="str">
        <f t="shared" si="230"/>
        <v>-</v>
      </c>
      <c r="X103" s="16"/>
      <c r="Y103" s="18" t="str">
        <f t="shared" si="231"/>
        <v>-</v>
      </c>
      <c r="Z103" s="10"/>
      <c r="AA103" s="19"/>
      <c r="AB103" s="13">
        <f t="shared" si="232"/>
        <v>0</v>
      </c>
      <c r="AC103" s="17" t="str">
        <f t="shared" si="233"/>
        <v>-</v>
      </c>
      <c r="AD103" s="10"/>
      <c r="AE103" s="19"/>
      <c r="AF103" s="13">
        <f t="shared" si="234"/>
        <v>0</v>
      </c>
      <c r="AG103" s="17" t="str">
        <f t="shared" si="235"/>
        <v>-</v>
      </c>
      <c r="AH103" s="10"/>
      <c r="AI103" s="19"/>
      <c r="AJ103" s="13">
        <f t="shared" si="236"/>
        <v>0</v>
      </c>
      <c r="AK103" s="17" t="str">
        <f t="shared" si="237"/>
        <v>-</v>
      </c>
      <c r="AL103" s="10"/>
      <c r="AM103" s="18" t="str">
        <f t="shared" si="238"/>
        <v>-</v>
      </c>
      <c r="AN103" s="15"/>
      <c r="AO103" s="17">
        <f t="shared" si="240"/>
        <v>0</v>
      </c>
      <c r="AP103" s="10"/>
    </row>
    <row r="104" spans="1:42" ht="17.25" customHeight="1" x14ac:dyDescent="0.3">
      <c r="A104" s="22"/>
      <c r="B104" s="6" t="s">
        <v>34</v>
      </c>
      <c r="C104" s="9" t="s">
        <v>35</v>
      </c>
      <c r="D104" s="9" t="s">
        <v>35</v>
      </c>
      <c r="E104" s="22"/>
      <c r="F104" s="9" t="s">
        <v>35</v>
      </c>
      <c r="G104" s="6" t="s">
        <v>35</v>
      </c>
      <c r="H104" s="5" t="str">
        <f>IFERROR(K104/I104,"-")</f>
        <v>-</v>
      </c>
      <c r="I104" s="25">
        <f>IFERROR(SUM(I94:I103),"-")</f>
        <v>0</v>
      </c>
      <c r="J104" s="22"/>
      <c r="K104" s="23">
        <f>IFERROR(SUM(K94:K103),"-")</f>
        <v>0</v>
      </c>
      <c r="L104" s="6" t="s">
        <v>35</v>
      </c>
      <c r="M104" s="23">
        <f>IFERROR(SUM(M94:M103),"-")</f>
        <v>0</v>
      </c>
      <c r="N104" s="9" t="s">
        <v>35</v>
      </c>
      <c r="O104" s="23">
        <f>IFERROR(SUM(O94:O103),"-")</f>
        <v>0</v>
      </c>
      <c r="P104" s="23">
        <f t="shared" si="227"/>
        <v>0</v>
      </c>
      <c r="Q104" s="24">
        <v>0</v>
      </c>
      <c r="R104" s="22"/>
      <c r="S104" s="25">
        <f>IFERROR(SUM(S94:S103),"-")</f>
        <v>0</v>
      </c>
      <c r="T104" s="25" t="s">
        <v>35</v>
      </c>
      <c r="U104" s="25" t="s">
        <v>35</v>
      </c>
      <c r="V104" s="23" t="str">
        <f t="shared" si="229"/>
        <v>-</v>
      </c>
      <c r="W104" s="23" t="str">
        <f t="shared" si="230"/>
        <v>-</v>
      </c>
      <c r="X104" s="6" t="s">
        <v>35</v>
      </c>
      <c r="Y104" s="6" t="s">
        <v>35</v>
      </c>
      <c r="Z104" s="22"/>
      <c r="AA104" s="24" t="str">
        <f>IFERROR(AB104/S104,"-")</f>
        <v>-</v>
      </c>
      <c r="AB104" s="25">
        <f>IFERROR(SUM(AB94:AB103),"-")</f>
        <v>0</v>
      </c>
      <c r="AC104" s="23" t="str">
        <f t="shared" si="233"/>
        <v>-</v>
      </c>
      <c r="AD104" s="22"/>
      <c r="AE104" s="24" t="str">
        <f>IFERROR(AF104/AB104,"-")</f>
        <v>-</v>
      </c>
      <c r="AF104" s="25">
        <f>IFERROR(SUM(AF94:AF103),"-")</f>
        <v>0</v>
      </c>
      <c r="AG104" s="23" t="str">
        <f t="shared" si="235"/>
        <v>-</v>
      </c>
      <c r="AH104" s="22"/>
      <c r="AI104" s="24" t="str">
        <f>IFERROR(AJ104/AB104,"-")</f>
        <v>-</v>
      </c>
      <c r="AJ104" s="25">
        <v>0</v>
      </c>
      <c r="AK104" s="23" t="str">
        <f>IFERROR(L104/AJ104,"-")</f>
        <v>-</v>
      </c>
      <c r="AL104" s="22"/>
      <c r="AM104" s="24" t="str">
        <f t="shared" si="238"/>
        <v>-</v>
      </c>
      <c r="AN104" s="23" t="str">
        <f>IFERROR(AO104/AF104,"-")</f>
        <v>-</v>
      </c>
      <c r="AO104" s="23">
        <f>IFERROR(SUM(AO94:AO103),"-")</f>
        <v>0</v>
      </c>
      <c r="AP104" s="22"/>
    </row>
    <row r="105" spans="1:42" ht="15.75" customHeight="1" x14ac:dyDescent="0.3">
      <c r="A105" s="33"/>
      <c r="B105" s="34"/>
      <c r="C105" s="34"/>
      <c r="D105" s="34"/>
      <c r="E105" s="33"/>
      <c r="F105" s="34"/>
      <c r="G105" s="34"/>
      <c r="H105" s="34"/>
      <c r="I105" s="34"/>
      <c r="J105" s="33"/>
      <c r="K105" s="34"/>
      <c r="L105" s="34"/>
      <c r="M105" s="34"/>
      <c r="N105" s="34"/>
      <c r="O105" s="34"/>
      <c r="P105" s="34"/>
      <c r="Q105" s="34"/>
      <c r="R105" s="33"/>
      <c r="S105" s="34"/>
      <c r="T105" s="34"/>
      <c r="U105" s="34"/>
      <c r="V105" s="34"/>
      <c r="W105" s="34"/>
      <c r="X105" s="34"/>
      <c r="Y105" s="34"/>
      <c r="Z105" s="33"/>
      <c r="AA105" s="34"/>
      <c r="AB105" s="34"/>
      <c r="AC105" s="34"/>
      <c r="AD105" s="33"/>
      <c r="AE105" s="34"/>
      <c r="AF105" s="34"/>
      <c r="AG105" s="34"/>
      <c r="AH105" s="33"/>
      <c r="AI105" s="34"/>
      <c r="AJ105" s="34"/>
      <c r="AK105" s="34"/>
      <c r="AL105" s="33"/>
      <c r="AM105" s="34"/>
      <c r="AN105" s="34"/>
      <c r="AO105" s="34"/>
      <c r="AP105" s="33"/>
    </row>
    <row r="106" spans="1:42" ht="51.75" customHeight="1" x14ac:dyDescent="0.3">
      <c r="A106" s="1"/>
      <c r="B106" s="2" t="s">
        <v>0</v>
      </c>
      <c r="C106" s="2" t="s">
        <v>1</v>
      </c>
      <c r="D106" s="2" t="s">
        <v>2</v>
      </c>
      <c r="E106" s="1"/>
      <c r="F106" s="3" t="s">
        <v>3</v>
      </c>
      <c r="G106" s="2" t="s">
        <v>66</v>
      </c>
      <c r="H106" s="2" t="s">
        <v>67</v>
      </c>
      <c r="I106" s="2" t="s">
        <v>68</v>
      </c>
      <c r="J106" s="1"/>
      <c r="K106" s="4" t="s">
        <v>7</v>
      </c>
      <c r="L106" s="3" t="s">
        <v>8</v>
      </c>
      <c r="M106" s="4" t="s">
        <v>9</v>
      </c>
      <c r="N106" s="3" t="s">
        <v>10</v>
      </c>
      <c r="O106" s="5" t="s">
        <v>11</v>
      </c>
      <c r="P106" s="5" t="s">
        <v>12</v>
      </c>
      <c r="Q106" s="4" t="s">
        <v>13</v>
      </c>
      <c r="R106" s="1"/>
      <c r="S106" s="2" t="s">
        <v>14</v>
      </c>
      <c r="T106" s="2" t="s">
        <v>15</v>
      </c>
      <c r="U106" s="2" t="s">
        <v>16</v>
      </c>
      <c r="V106" s="2" t="s">
        <v>17</v>
      </c>
      <c r="W106" s="2" t="s">
        <v>18</v>
      </c>
      <c r="X106" s="2" t="s">
        <v>19</v>
      </c>
      <c r="Y106" s="2" t="s">
        <v>20</v>
      </c>
      <c r="Z106" s="1"/>
      <c r="AA106" s="6" t="s">
        <v>21</v>
      </c>
      <c r="AB106" s="7" t="s">
        <v>22</v>
      </c>
      <c r="AC106" s="7" t="s">
        <v>23</v>
      </c>
      <c r="AD106" s="1"/>
      <c r="AE106" s="6" t="s">
        <v>24</v>
      </c>
      <c r="AF106" s="8" t="s">
        <v>25</v>
      </c>
      <c r="AG106" s="8" t="s">
        <v>26</v>
      </c>
      <c r="AH106" s="1"/>
      <c r="AI106" s="9" t="s">
        <v>27</v>
      </c>
      <c r="AJ106" s="8" t="s">
        <v>28</v>
      </c>
      <c r="AK106" s="8" t="s">
        <v>56</v>
      </c>
      <c r="AL106" s="1"/>
      <c r="AM106" s="9" t="s">
        <v>30</v>
      </c>
      <c r="AN106" s="8" t="s">
        <v>31</v>
      </c>
      <c r="AO106" s="8" t="s">
        <v>32</v>
      </c>
      <c r="AP106" s="1"/>
    </row>
    <row r="107" spans="1:42" ht="30.75" customHeight="1" x14ac:dyDescent="0.3">
      <c r="A107" s="10"/>
      <c r="B107" s="11"/>
      <c r="C107" s="12"/>
      <c r="D107" s="12"/>
      <c r="E107" s="10"/>
      <c r="F107" s="13" t="s">
        <v>78</v>
      </c>
      <c r="G107" s="14" t="s">
        <v>33</v>
      </c>
      <c r="H107" s="15"/>
      <c r="I107" s="16">
        <f>IFERROR(S107*AA107,"-")</f>
        <v>0</v>
      </c>
      <c r="J107" s="10"/>
      <c r="K107" s="17">
        <f t="shared" ref="K107:K116" si="256">IFERROR((H107*I107),"-")</f>
        <v>0</v>
      </c>
      <c r="L107" s="18"/>
      <c r="M107" s="17">
        <f t="shared" ref="M107:M116" si="257">IFERROR(K107*(1-L107),"-")</f>
        <v>0</v>
      </c>
      <c r="N107" s="19"/>
      <c r="O107" s="17">
        <f t="shared" ref="O107:O116" si="258">IFERROR(M107*(1+N107),"-")</f>
        <v>0</v>
      </c>
      <c r="P107" s="17">
        <f t="shared" ref="P107:P117" si="259">IFERROR(O107*1.22,"-")</f>
        <v>0</v>
      </c>
      <c r="Q107" s="18" t="str">
        <f t="shared" ref="Q107:Q116" si="260">IFERROR(P107/$P$13,"-")</f>
        <v>-</v>
      </c>
      <c r="R107" s="10"/>
      <c r="S107" s="20"/>
      <c r="T107" s="16"/>
      <c r="U107" s="13" t="s">
        <v>35</v>
      </c>
      <c r="V107" s="17" t="str">
        <f t="shared" ref="V107:V117" si="261">IFERROR(P107/S107*1000,"-")</f>
        <v>-</v>
      </c>
      <c r="W107" s="17" t="str">
        <f t="shared" ref="W107:W117" si="262">IFERROR(P107/U107*1000,"-")</f>
        <v>-</v>
      </c>
      <c r="X107" s="16"/>
      <c r="Y107" s="18" t="str">
        <f t="shared" ref="Y107:Y116" si="263">IFERROR(U107/X107,"-")</f>
        <v>-</v>
      </c>
      <c r="Z107" s="10"/>
      <c r="AA107" s="19"/>
      <c r="AB107" s="13">
        <f t="shared" ref="AB107:AB116" si="264">IFERROR(ROUNDDOWN(S107*AA107,0),"-")</f>
        <v>0</v>
      </c>
      <c r="AC107" s="17" t="str">
        <f t="shared" ref="AC107:AC117" si="265">IFERROR(P107/AB107,"-")</f>
        <v>-</v>
      </c>
      <c r="AD107" s="10"/>
      <c r="AE107" s="19"/>
      <c r="AF107" s="13">
        <f t="shared" ref="AF107:AF116" si="266">IF(G107="CPI",AJ107*AE107,IFERROR(ROUNDDOWN(AB107*AE107,0),"-"))</f>
        <v>0</v>
      </c>
      <c r="AG107" s="17" t="str">
        <f t="shared" ref="AG107:AG117" si="267">IFERROR(P107/AF107,"-")</f>
        <v>-</v>
      </c>
      <c r="AH107" s="10"/>
      <c r="AI107" s="19"/>
      <c r="AJ107" s="13">
        <f t="shared" ref="AJ107:AJ116" si="268">IF(G107="CPI",I107,0)</f>
        <v>0</v>
      </c>
      <c r="AK107" s="17" t="str">
        <f t="shared" ref="AK107:AK116" si="269">IFERROR(P107/AJ107,"-")</f>
        <v>-</v>
      </c>
      <c r="AL107" s="10"/>
      <c r="AM107" s="18" t="str">
        <f t="shared" ref="AM107:AM117" si="270">IFERROR(P107/AO107,"-")</f>
        <v>-</v>
      </c>
      <c r="AN107" s="15"/>
      <c r="AO107" s="17">
        <f>AN107*AF107</f>
        <v>0</v>
      </c>
      <c r="AP107" s="10"/>
    </row>
    <row r="108" spans="1:42" ht="30.75" customHeight="1" x14ac:dyDescent="0.3">
      <c r="A108" s="10"/>
      <c r="B108" s="11"/>
      <c r="C108" s="12"/>
      <c r="D108" s="12"/>
      <c r="E108" s="10"/>
      <c r="F108" s="13" t="s">
        <v>78</v>
      </c>
      <c r="G108" s="14" t="s">
        <v>33</v>
      </c>
      <c r="H108" s="15"/>
      <c r="I108" s="16">
        <f t="shared" ref="I108:I116" si="271">IFERROR(S108*AA108,"-")</f>
        <v>0</v>
      </c>
      <c r="J108" s="10"/>
      <c r="K108" s="17">
        <f t="shared" si="256"/>
        <v>0</v>
      </c>
      <c r="L108" s="18"/>
      <c r="M108" s="17">
        <f t="shared" si="257"/>
        <v>0</v>
      </c>
      <c r="N108" s="19"/>
      <c r="O108" s="17">
        <f t="shared" si="258"/>
        <v>0</v>
      </c>
      <c r="P108" s="17">
        <f t="shared" si="259"/>
        <v>0</v>
      </c>
      <c r="Q108" s="18" t="str">
        <f t="shared" si="260"/>
        <v>-</v>
      </c>
      <c r="R108" s="10"/>
      <c r="S108" s="20"/>
      <c r="T108" s="16"/>
      <c r="U108" s="13" t="s">
        <v>35</v>
      </c>
      <c r="V108" s="17" t="str">
        <f t="shared" si="261"/>
        <v>-</v>
      </c>
      <c r="W108" s="17" t="str">
        <f t="shared" si="262"/>
        <v>-</v>
      </c>
      <c r="X108" s="16"/>
      <c r="Y108" s="18" t="str">
        <f t="shared" si="263"/>
        <v>-</v>
      </c>
      <c r="Z108" s="10"/>
      <c r="AA108" s="19"/>
      <c r="AB108" s="13">
        <f t="shared" si="264"/>
        <v>0</v>
      </c>
      <c r="AC108" s="17" t="str">
        <f t="shared" si="265"/>
        <v>-</v>
      </c>
      <c r="AD108" s="10"/>
      <c r="AE108" s="19"/>
      <c r="AF108" s="13">
        <f t="shared" si="266"/>
        <v>0</v>
      </c>
      <c r="AG108" s="17" t="str">
        <f t="shared" si="267"/>
        <v>-</v>
      </c>
      <c r="AH108" s="10"/>
      <c r="AI108" s="19"/>
      <c r="AJ108" s="13">
        <f t="shared" si="268"/>
        <v>0</v>
      </c>
      <c r="AK108" s="17" t="str">
        <f t="shared" si="269"/>
        <v>-</v>
      </c>
      <c r="AL108" s="10"/>
      <c r="AM108" s="18" t="str">
        <f t="shared" si="270"/>
        <v>-</v>
      </c>
      <c r="AN108" s="15"/>
      <c r="AO108" s="17">
        <f t="shared" ref="AO108:AO116" si="272">AN108*AF108</f>
        <v>0</v>
      </c>
      <c r="AP108" s="10"/>
    </row>
    <row r="109" spans="1:42" ht="30.75" customHeight="1" x14ac:dyDescent="0.3">
      <c r="A109" s="10"/>
      <c r="B109" s="11"/>
      <c r="C109" s="12"/>
      <c r="D109" s="12"/>
      <c r="E109" s="10"/>
      <c r="F109" s="13" t="s">
        <v>78</v>
      </c>
      <c r="G109" s="14" t="s">
        <v>33</v>
      </c>
      <c r="H109" s="15"/>
      <c r="I109" s="16">
        <f t="shared" ref="I109:I113" si="273">IFERROR(S109*AA109,"-")</f>
        <v>0</v>
      </c>
      <c r="J109" s="10"/>
      <c r="K109" s="17">
        <f t="shared" ref="K109:K113" si="274">IFERROR((H109*I109),"-")</f>
        <v>0</v>
      </c>
      <c r="L109" s="18"/>
      <c r="M109" s="17">
        <f t="shared" ref="M109:M113" si="275">IFERROR(K109*(1-L109),"-")</f>
        <v>0</v>
      </c>
      <c r="N109" s="19"/>
      <c r="O109" s="17">
        <f t="shared" ref="O109:O113" si="276">IFERROR(M109*(1+N109),"-")</f>
        <v>0</v>
      </c>
      <c r="P109" s="17">
        <f t="shared" si="259"/>
        <v>0</v>
      </c>
      <c r="Q109" s="18" t="str">
        <f t="shared" ref="Q109:Q113" si="277">IFERROR(P109/$P$13,"-")</f>
        <v>-</v>
      </c>
      <c r="R109" s="10"/>
      <c r="S109" s="20"/>
      <c r="T109" s="16"/>
      <c r="U109" s="13" t="s">
        <v>35</v>
      </c>
      <c r="V109" s="17" t="str">
        <f t="shared" ref="V109:V113" si="278">IFERROR(P109/S109*1000,"-")</f>
        <v>-</v>
      </c>
      <c r="W109" s="17" t="str">
        <f t="shared" ref="W109:W113" si="279">IFERROR(P109/U109*1000,"-")</f>
        <v>-</v>
      </c>
      <c r="X109" s="16"/>
      <c r="Y109" s="18" t="str">
        <f t="shared" ref="Y109:Y113" si="280">IFERROR(U109/X109,"-")</f>
        <v>-</v>
      </c>
      <c r="Z109" s="10"/>
      <c r="AA109" s="19"/>
      <c r="AB109" s="13">
        <f t="shared" ref="AB109:AB113" si="281">IFERROR(ROUNDDOWN(S109*AA109,0),"-")</f>
        <v>0</v>
      </c>
      <c r="AC109" s="17" t="str">
        <f t="shared" ref="AC109:AC113" si="282">IFERROR(P109/AB109,"-")</f>
        <v>-</v>
      </c>
      <c r="AD109" s="10"/>
      <c r="AE109" s="19"/>
      <c r="AF109" s="13">
        <f t="shared" ref="AF109:AF113" si="283">IF(G109="CPI",AJ109*AE109,IFERROR(ROUNDDOWN(AB109*AE109,0),"-"))</f>
        <v>0</v>
      </c>
      <c r="AG109" s="17" t="str">
        <f t="shared" ref="AG109:AG113" si="284">IFERROR(P109/AF109,"-")</f>
        <v>-</v>
      </c>
      <c r="AH109" s="10"/>
      <c r="AI109" s="19"/>
      <c r="AJ109" s="13">
        <f t="shared" ref="AJ109:AJ113" si="285">IF(G109="CPI",I109,0)</f>
        <v>0</v>
      </c>
      <c r="AK109" s="17" t="str">
        <f t="shared" ref="AK109:AK113" si="286">IFERROR(P109/AJ109,"-")</f>
        <v>-</v>
      </c>
      <c r="AL109" s="10"/>
      <c r="AM109" s="18" t="str">
        <f t="shared" ref="AM109:AM113" si="287">IFERROR(P109/AO109,"-")</f>
        <v>-</v>
      </c>
      <c r="AN109" s="15"/>
      <c r="AO109" s="17">
        <f t="shared" si="272"/>
        <v>0</v>
      </c>
      <c r="AP109" s="10"/>
    </row>
    <row r="110" spans="1:42" ht="30.75" customHeight="1" x14ac:dyDescent="0.3">
      <c r="A110" s="10"/>
      <c r="B110" s="11"/>
      <c r="C110" s="12"/>
      <c r="D110" s="12"/>
      <c r="E110" s="10"/>
      <c r="F110" s="13" t="s">
        <v>78</v>
      </c>
      <c r="G110" s="14" t="s">
        <v>33</v>
      </c>
      <c r="H110" s="15"/>
      <c r="I110" s="16">
        <f t="shared" si="273"/>
        <v>0</v>
      </c>
      <c r="J110" s="10"/>
      <c r="K110" s="17">
        <f t="shared" si="274"/>
        <v>0</v>
      </c>
      <c r="L110" s="18"/>
      <c r="M110" s="17">
        <f t="shared" si="275"/>
        <v>0</v>
      </c>
      <c r="N110" s="19"/>
      <c r="O110" s="17">
        <f t="shared" si="276"/>
        <v>0</v>
      </c>
      <c r="P110" s="17">
        <f t="shared" si="259"/>
        <v>0</v>
      </c>
      <c r="Q110" s="18" t="str">
        <f t="shared" si="277"/>
        <v>-</v>
      </c>
      <c r="R110" s="10"/>
      <c r="S110" s="20"/>
      <c r="T110" s="16"/>
      <c r="U110" s="13" t="s">
        <v>35</v>
      </c>
      <c r="V110" s="17" t="str">
        <f t="shared" si="278"/>
        <v>-</v>
      </c>
      <c r="W110" s="17" t="str">
        <f t="shared" si="279"/>
        <v>-</v>
      </c>
      <c r="X110" s="16"/>
      <c r="Y110" s="18" t="str">
        <f t="shared" si="280"/>
        <v>-</v>
      </c>
      <c r="Z110" s="10"/>
      <c r="AA110" s="19"/>
      <c r="AB110" s="13">
        <f t="shared" si="281"/>
        <v>0</v>
      </c>
      <c r="AC110" s="17" t="str">
        <f t="shared" si="282"/>
        <v>-</v>
      </c>
      <c r="AD110" s="10"/>
      <c r="AE110" s="19"/>
      <c r="AF110" s="13">
        <f t="shared" si="283"/>
        <v>0</v>
      </c>
      <c r="AG110" s="17" t="str">
        <f t="shared" si="284"/>
        <v>-</v>
      </c>
      <c r="AH110" s="10"/>
      <c r="AI110" s="19"/>
      <c r="AJ110" s="13">
        <f t="shared" si="285"/>
        <v>0</v>
      </c>
      <c r="AK110" s="17" t="str">
        <f t="shared" si="286"/>
        <v>-</v>
      </c>
      <c r="AL110" s="10"/>
      <c r="AM110" s="18" t="str">
        <f t="shared" si="287"/>
        <v>-</v>
      </c>
      <c r="AN110" s="15"/>
      <c r="AO110" s="17">
        <f t="shared" si="272"/>
        <v>0</v>
      </c>
      <c r="AP110" s="10"/>
    </row>
    <row r="111" spans="1:42" ht="30.75" customHeight="1" x14ac:dyDescent="0.3">
      <c r="A111" s="10"/>
      <c r="B111" s="11"/>
      <c r="C111" s="12"/>
      <c r="D111" s="12"/>
      <c r="E111" s="10"/>
      <c r="F111" s="13" t="s">
        <v>78</v>
      </c>
      <c r="G111" s="14" t="s">
        <v>33</v>
      </c>
      <c r="H111" s="15"/>
      <c r="I111" s="16">
        <f t="shared" si="273"/>
        <v>0</v>
      </c>
      <c r="J111" s="10"/>
      <c r="K111" s="17">
        <f t="shared" si="274"/>
        <v>0</v>
      </c>
      <c r="L111" s="18"/>
      <c r="M111" s="17">
        <f t="shared" si="275"/>
        <v>0</v>
      </c>
      <c r="N111" s="19"/>
      <c r="O111" s="17">
        <f t="shared" si="276"/>
        <v>0</v>
      </c>
      <c r="P111" s="17">
        <f t="shared" si="259"/>
        <v>0</v>
      </c>
      <c r="Q111" s="18" t="str">
        <f t="shared" si="277"/>
        <v>-</v>
      </c>
      <c r="R111" s="10"/>
      <c r="S111" s="20"/>
      <c r="T111" s="16"/>
      <c r="U111" s="13" t="s">
        <v>35</v>
      </c>
      <c r="V111" s="17" t="str">
        <f t="shared" si="278"/>
        <v>-</v>
      </c>
      <c r="W111" s="17" t="str">
        <f t="shared" si="279"/>
        <v>-</v>
      </c>
      <c r="X111" s="16"/>
      <c r="Y111" s="18" t="str">
        <f t="shared" si="280"/>
        <v>-</v>
      </c>
      <c r="Z111" s="10"/>
      <c r="AA111" s="19"/>
      <c r="AB111" s="13">
        <f t="shared" si="281"/>
        <v>0</v>
      </c>
      <c r="AC111" s="17" t="str">
        <f t="shared" si="282"/>
        <v>-</v>
      </c>
      <c r="AD111" s="10"/>
      <c r="AE111" s="19"/>
      <c r="AF111" s="13">
        <f t="shared" si="283"/>
        <v>0</v>
      </c>
      <c r="AG111" s="17" t="str">
        <f t="shared" si="284"/>
        <v>-</v>
      </c>
      <c r="AH111" s="10"/>
      <c r="AI111" s="19"/>
      <c r="AJ111" s="13">
        <f t="shared" si="285"/>
        <v>0</v>
      </c>
      <c r="AK111" s="17" t="str">
        <f t="shared" si="286"/>
        <v>-</v>
      </c>
      <c r="AL111" s="10"/>
      <c r="AM111" s="18" t="str">
        <f t="shared" si="287"/>
        <v>-</v>
      </c>
      <c r="AN111" s="15"/>
      <c r="AO111" s="17">
        <f t="shared" si="272"/>
        <v>0</v>
      </c>
      <c r="AP111" s="10"/>
    </row>
    <row r="112" spans="1:42" ht="30.75" customHeight="1" x14ac:dyDescent="0.3">
      <c r="A112" s="10"/>
      <c r="B112" s="11"/>
      <c r="C112" s="12"/>
      <c r="D112" s="12"/>
      <c r="E112" s="10"/>
      <c r="F112" s="13" t="s">
        <v>78</v>
      </c>
      <c r="G112" s="14" t="s">
        <v>33</v>
      </c>
      <c r="H112" s="15"/>
      <c r="I112" s="16">
        <f t="shared" si="273"/>
        <v>0</v>
      </c>
      <c r="J112" s="10"/>
      <c r="K112" s="17">
        <f t="shared" si="274"/>
        <v>0</v>
      </c>
      <c r="L112" s="18"/>
      <c r="M112" s="17">
        <f t="shared" si="275"/>
        <v>0</v>
      </c>
      <c r="N112" s="19"/>
      <c r="O112" s="17">
        <f t="shared" si="276"/>
        <v>0</v>
      </c>
      <c r="P112" s="17">
        <f t="shared" si="259"/>
        <v>0</v>
      </c>
      <c r="Q112" s="18" t="str">
        <f t="shared" si="277"/>
        <v>-</v>
      </c>
      <c r="R112" s="10"/>
      <c r="S112" s="20"/>
      <c r="T112" s="16"/>
      <c r="U112" s="13" t="s">
        <v>35</v>
      </c>
      <c r="V112" s="17" t="str">
        <f t="shared" si="278"/>
        <v>-</v>
      </c>
      <c r="W112" s="17" t="str">
        <f t="shared" si="279"/>
        <v>-</v>
      </c>
      <c r="X112" s="16"/>
      <c r="Y112" s="18" t="str">
        <f t="shared" si="280"/>
        <v>-</v>
      </c>
      <c r="Z112" s="10"/>
      <c r="AA112" s="19"/>
      <c r="AB112" s="13">
        <f t="shared" si="281"/>
        <v>0</v>
      </c>
      <c r="AC112" s="17" t="str">
        <f t="shared" si="282"/>
        <v>-</v>
      </c>
      <c r="AD112" s="10"/>
      <c r="AE112" s="19"/>
      <c r="AF112" s="13">
        <f t="shared" si="283"/>
        <v>0</v>
      </c>
      <c r="AG112" s="17" t="str">
        <f t="shared" si="284"/>
        <v>-</v>
      </c>
      <c r="AH112" s="10"/>
      <c r="AI112" s="19"/>
      <c r="AJ112" s="13">
        <f t="shared" si="285"/>
        <v>0</v>
      </c>
      <c r="AK112" s="17" t="str">
        <f t="shared" si="286"/>
        <v>-</v>
      </c>
      <c r="AL112" s="10"/>
      <c r="AM112" s="18" t="str">
        <f t="shared" si="287"/>
        <v>-</v>
      </c>
      <c r="AN112" s="15"/>
      <c r="AO112" s="17">
        <f t="shared" si="272"/>
        <v>0</v>
      </c>
      <c r="AP112" s="10"/>
    </row>
    <row r="113" spans="1:42" ht="30.75" customHeight="1" x14ac:dyDescent="0.3">
      <c r="A113" s="10"/>
      <c r="B113" s="11"/>
      <c r="C113" s="12"/>
      <c r="D113" s="12"/>
      <c r="E113" s="10"/>
      <c r="F113" s="13" t="s">
        <v>78</v>
      </c>
      <c r="G113" s="14" t="s">
        <v>33</v>
      </c>
      <c r="H113" s="15"/>
      <c r="I113" s="16">
        <f t="shared" si="273"/>
        <v>0</v>
      </c>
      <c r="J113" s="10"/>
      <c r="K113" s="17">
        <f t="shared" si="274"/>
        <v>0</v>
      </c>
      <c r="L113" s="18"/>
      <c r="M113" s="17">
        <f t="shared" si="275"/>
        <v>0</v>
      </c>
      <c r="N113" s="19"/>
      <c r="O113" s="17">
        <f t="shared" si="276"/>
        <v>0</v>
      </c>
      <c r="P113" s="17">
        <f t="shared" si="259"/>
        <v>0</v>
      </c>
      <c r="Q113" s="18" t="str">
        <f t="shared" si="277"/>
        <v>-</v>
      </c>
      <c r="R113" s="10"/>
      <c r="S113" s="20"/>
      <c r="T113" s="16"/>
      <c r="U113" s="13" t="s">
        <v>35</v>
      </c>
      <c r="V113" s="17" t="str">
        <f t="shared" si="278"/>
        <v>-</v>
      </c>
      <c r="W113" s="17" t="str">
        <f t="shared" si="279"/>
        <v>-</v>
      </c>
      <c r="X113" s="16"/>
      <c r="Y113" s="18" t="str">
        <f t="shared" si="280"/>
        <v>-</v>
      </c>
      <c r="Z113" s="10"/>
      <c r="AA113" s="19"/>
      <c r="AB113" s="13">
        <f t="shared" si="281"/>
        <v>0</v>
      </c>
      <c r="AC113" s="17" t="str">
        <f t="shared" si="282"/>
        <v>-</v>
      </c>
      <c r="AD113" s="10"/>
      <c r="AE113" s="19"/>
      <c r="AF113" s="13">
        <f t="shared" si="283"/>
        <v>0</v>
      </c>
      <c r="AG113" s="17" t="str">
        <f t="shared" si="284"/>
        <v>-</v>
      </c>
      <c r="AH113" s="10"/>
      <c r="AI113" s="19"/>
      <c r="AJ113" s="13">
        <f t="shared" si="285"/>
        <v>0</v>
      </c>
      <c r="AK113" s="17" t="str">
        <f t="shared" si="286"/>
        <v>-</v>
      </c>
      <c r="AL113" s="10"/>
      <c r="AM113" s="18" t="str">
        <f t="shared" si="287"/>
        <v>-</v>
      </c>
      <c r="AN113" s="15"/>
      <c r="AO113" s="17">
        <f t="shared" si="272"/>
        <v>0</v>
      </c>
      <c r="AP113" s="10"/>
    </row>
    <row r="114" spans="1:42" ht="30.75" customHeight="1" x14ac:dyDescent="0.3">
      <c r="A114" s="10"/>
      <c r="B114" s="11"/>
      <c r="C114" s="12"/>
      <c r="D114" s="12"/>
      <c r="E114" s="10"/>
      <c r="F114" s="13" t="s">
        <v>78</v>
      </c>
      <c r="G114" s="14" t="s">
        <v>33</v>
      </c>
      <c r="H114" s="15"/>
      <c r="I114" s="16">
        <f t="shared" si="271"/>
        <v>0</v>
      </c>
      <c r="J114" s="10"/>
      <c r="K114" s="17">
        <f t="shared" si="256"/>
        <v>0</v>
      </c>
      <c r="L114" s="18"/>
      <c r="M114" s="17">
        <f t="shared" si="257"/>
        <v>0</v>
      </c>
      <c r="N114" s="19"/>
      <c r="O114" s="17">
        <f t="shared" si="258"/>
        <v>0</v>
      </c>
      <c r="P114" s="17">
        <f t="shared" si="259"/>
        <v>0</v>
      </c>
      <c r="Q114" s="18" t="str">
        <f t="shared" si="260"/>
        <v>-</v>
      </c>
      <c r="R114" s="10"/>
      <c r="S114" s="20"/>
      <c r="T114" s="16"/>
      <c r="U114" s="13" t="s">
        <v>35</v>
      </c>
      <c r="V114" s="17" t="str">
        <f t="shared" si="261"/>
        <v>-</v>
      </c>
      <c r="W114" s="17" t="str">
        <f t="shared" si="262"/>
        <v>-</v>
      </c>
      <c r="X114" s="16"/>
      <c r="Y114" s="18" t="str">
        <f t="shared" si="263"/>
        <v>-</v>
      </c>
      <c r="Z114" s="10"/>
      <c r="AA114" s="19"/>
      <c r="AB114" s="13">
        <f t="shared" si="264"/>
        <v>0</v>
      </c>
      <c r="AC114" s="17" t="str">
        <f t="shared" si="265"/>
        <v>-</v>
      </c>
      <c r="AD114" s="10"/>
      <c r="AE114" s="19"/>
      <c r="AF114" s="13">
        <f t="shared" si="266"/>
        <v>0</v>
      </c>
      <c r="AG114" s="17" t="str">
        <f t="shared" si="267"/>
        <v>-</v>
      </c>
      <c r="AH114" s="10"/>
      <c r="AI114" s="19"/>
      <c r="AJ114" s="13">
        <f t="shared" si="268"/>
        <v>0</v>
      </c>
      <c r="AK114" s="17" t="str">
        <f t="shared" si="269"/>
        <v>-</v>
      </c>
      <c r="AL114" s="10"/>
      <c r="AM114" s="18" t="str">
        <f t="shared" si="270"/>
        <v>-</v>
      </c>
      <c r="AN114" s="15"/>
      <c r="AO114" s="17">
        <f t="shared" si="272"/>
        <v>0</v>
      </c>
      <c r="AP114" s="10"/>
    </row>
    <row r="115" spans="1:42" ht="30.75" customHeight="1" x14ac:dyDescent="0.3">
      <c r="A115" s="10"/>
      <c r="B115" s="11"/>
      <c r="C115" s="12"/>
      <c r="D115" s="12"/>
      <c r="E115" s="10"/>
      <c r="F115" s="13" t="s">
        <v>78</v>
      </c>
      <c r="G115" s="14" t="s">
        <v>33</v>
      </c>
      <c r="H115" s="15"/>
      <c r="I115" s="16">
        <f t="shared" si="271"/>
        <v>0</v>
      </c>
      <c r="J115" s="10"/>
      <c r="K115" s="17">
        <f t="shared" si="256"/>
        <v>0</v>
      </c>
      <c r="L115" s="18"/>
      <c r="M115" s="17">
        <f t="shared" si="257"/>
        <v>0</v>
      </c>
      <c r="N115" s="19"/>
      <c r="O115" s="17">
        <f t="shared" si="258"/>
        <v>0</v>
      </c>
      <c r="P115" s="17">
        <f t="shared" si="259"/>
        <v>0</v>
      </c>
      <c r="Q115" s="18" t="str">
        <f t="shared" si="260"/>
        <v>-</v>
      </c>
      <c r="R115" s="10"/>
      <c r="S115" s="20"/>
      <c r="T115" s="16"/>
      <c r="U115" s="13" t="s">
        <v>35</v>
      </c>
      <c r="V115" s="17" t="str">
        <f t="shared" si="261"/>
        <v>-</v>
      </c>
      <c r="W115" s="17" t="str">
        <f t="shared" si="262"/>
        <v>-</v>
      </c>
      <c r="X115" s="16"/>
      <c r="Y115" s="18" t="str">
        <f t="shared" si="263"/>
        <v>-</v>
      </c>
      <c r="Z115" s="10"/>
      <c r="AA115" s="19"/>
      <c r="AB115" s="13">
        <f t="shared" si="264"/>
        <v>0</v>
      </c>
      <c r="AC115" s="17" t="str">
        <f t="shared" si="265"/>
        <v>-</v>
      </c>
      <c r="AD115" s="10"/>
      <c r="AE115" s="19"/>
      <c r="AF115" s="13">
        <f t="shared" si="266"/>
        <v>0</v>
      </c>
      <c r="AG115" s="17" t="str">
        <f t="shared" si="267"/>
        <v>-</v>
      </c>
      <c r="AH115" s="10"/>
      <c r="AI115" s="19"/>
      <c r="AJ115" s="13">
        <f t="shared" si="268"/>
        <v>0</v>
      </c>
      <c r="AK115" s="17" t="str">
        <f t="shared" si="269"/>
        <v>-</v>
      </c>
      <c r="AL115" s="10"/>
      <c r="AM115" s="18" t="str">
        <f t="shared" si="270"/>
        <v>-</v>
      </c>
      <c r="AN115" s="15"/>
      <c r="AO115" s="17">
        <f t="shared" si="272"/>
        <v>0</v>
      </c>
      <c r="AP115" s="10"/>
    </row>
    <row r="116" spans="1:42" ht="30.75" customHeight="1" x14ac:dyDescent="0.3">
      <c r="A116" s="10"/>
      <c r="B116" s="11"/>
      <c r="C116" s="12"/>
      <c r="D116" s="12"/>
      <c r="E116" s="10"/>
      <c r="F116" s="13" t="s">
        <v>78</v>
      </c>
      <c r="G116" s="14" t="s">
        <v>33</v>
      </c>
      <c r="H116" s="15"/>
      <c r="I116" s="16">
        <f t="shared" si="271"/>
        <v>0</v>
      </c>
      <c r="J116" s="10"/>
      <c r="K116" s="17">
        <f t="shared" si="256"/>
        <v>0</v>
      </c>
      <c r="L116" s="18"/>
      <c r="M116" s="17">
        <f t="shared" si="257"/>
        <v>0</v>
      </c>
      <c r="N116" s="19"/>
      <c r="O116" s="17">
        <f t="shared" si="258"/>
        <v>0</v>
      </c>
      <c r="P116" s="17">
        <f t="shared" si="259"/>
        <v>0</v>
      </c>
      <c r="Q116" s="18" t="str">
        <f t="shared" si="260"/>
        <v>-</v>
      </c>
      <c r="R116" s="10"/>
      <c r="S116" s="20"/>
      <c r="T116" s="16"/>
      <c r="U116" s="13" t="s">
        <v>35</v>
      </c>
      <c r="V116" s="17" t="str">
        <f t="shared" si="261"/>
        <v>-</v>
      </c>
      <c r="W116" s="17" t="str">
        <f t="shared" si="262"/>
        <v>-</v>
      </c>
      <c r="X116" s="16"/>
      <c r="Y116" s="18" t="str">
        <f t="shared" si="263"/>
        <v>-</v>
      </c>
      <c r="Z116" s="10"/>
      <c r="AA116" s="19"/>
      <c r="AB116" s="13">
        <f t="shared" si="264"/>
        <v>0</v>
      </c>
      <c r="AC116" s="17" t="str">
        <f t="shared" si="265"/>
        <v>-</v>
      </c>
      <c r="AD116" s="10"/>
      <c r="AE116" s="19"/>
      <c r="AF116" s="13">
        <f t="shared" si="266"/>
        <v>0</v>
      </c>
      <c r="AG116" s="17" t="str">
        <f t="shared" si="267"/>
        <v>-</v>
      </c>
      <c r="AH116" s="10"/>
      <c r="AI116" s="19"/>
      <c r="AJ116" s="13">
        <f t="shared" si="268"/>
        <v>0</v>
      </c>
      <c r="AK116" s="17" t="str">
        <f t="shared" si="269"/>
        <v>-</v>
      </c>
      <c r="AL116" s="10"/>
      <c r="AM116" s="18" t="str">
        <f t="shared" si="270"/>
        <v>-</v>
      </c>
      <c r="AN116" s="15"/>
      <c r="AO116" s="17">
        <f t="shared" si="272"/>
        <v>0</v>
      </c>
      <c r="AP116" s="10"/>
    </row>
    <row r="117" spans="1:42" ht="17.25" customHeight="1" x14ac:dyDescent="0.3">
      <c r="A117" s="22"/>
      <c r="B117" s="6" t="s">
        <v>34</v>
      </c>
      <c r="C117" s="9" t="s">
        <v>35</v>
      </c>
      <c r="D117" s="9" t="s">
        <v>35</v>
      </c>
      <c r="E117" s="22"/>
      <c r="F117" s="9" t="s">
        <v>35</v>
      </c>
      <c r="G117" s="6" t="s">
        <v>35</v>
      </c>
      <c r="H117" s="5" t="str">
        <f>IFERROR(K117/I117,"-")</f>
        <v>-</v>
      </c>
      <c r="I117" s="25">
        <f>IFERROR(SUM(I107:I116),"-")</f>
        <v>0</v>
      </c>
      <c r="J117" s="22"/>
      <c r="K117" s="23">
        <f>IFERROR(SUM(K107:K116),"-")</f>
        <v>0</v>
      </c>
      <c r="L117" s="6" t="s">
        <v>35</v>
      </c>
      <c r="M117" s="23">
        <f>IFERROR(SUM(M107:M116),"-")</f>
        <v>0</v>
      </c>
      <c r="N117" s="9" t="s">
        <v>35</v>
      </c>
      <c r="O117" s="23">
        <f>IFERROR(SUM(O107:O116),"-")</f>
        <v>0</v>
      </c>
      <c r="P117" s="23">
        <f t="shared" si="259"/>
        <v>0</v>
      </c>
      <c r="Q117" s="24">
        <v>0</v>
      </c>
      <c r="R117" s="22"/>
      <c r="S117" s="25">
        <f>IFERROR(SUM(S107:S116),"-")</f>
        <v>0</v>
      </c>
      <c r="T117" s="25" t="s">
        <v>35</v>
      </c>
      <c r="U117" s="25" t="s">
        <v>35</v>
      </c>
      <c r="V117" s="23" t="str">
        <f t="shared" si="261"/>
        <v>-</v>
      </c>
      <c r="W117" s="23" t="str">
        <f t="shared" si="262"/>
        <v>-</v>
      </c>
      <c r="X117" s="6" t="s">
        <v>35</v>
      </c>
      <c r="Y117" s="6" t="s">
        <v>35</v>
      </c>
      <c r="Z117" s="22"/>
      <c r="AA117" s="24" t="str">
        <f>IFERROR(AB117/S117,"-")</f>
        <v>-</v>
      </c>
      <c r="AB117" s="25">
        <f>IFERROR(SUM(AB107:AB116),"-")</f>
        <v>0</v>
      </c>
      <c r="AC117" s="23" t="str">
        <f t="shared" si="265"/>
        <v>-</v>
      </c>
      <c r="AD117" s="22"/>
      <c r="AE117" s="24" t="str">
        <f>IFERROR(AF117/AB117,"-")</f>
        <v>-</v>
      </c>
      <c r="AF117" s="25">
        <f>IFERROR(SUM(AF107:AF116),"-")</f>
        <v>0</v>
      </c>
      <c r="AG117" s="23" t="str">
        <f t="shared" si="267"/>
        <v>-</v>
      </c>
      <c r="AH117" s="22"/>
      <c r="AI117" s="24" t="str">
        <f>IFERROR(AJ117/AB117,"-")</f>
        <v>-</v>
      </c>
      <c r="AJ117" s="25">
        <v>0</v>
      </c>
      <c r="AK117" s="23" t="str">
        <f>IFERROR(L117/AJ117,"-")</f>
        <v>-</v>
      </c>
      <c r="AL117" s="22"/>
      <c r="AM117" s="24" t="str">
        <f t="shared" si="270"/>
        <v>-</v>
      </c>
      <c r="AN117" s="23" t="str">
        <f>IFERROR(AO117/AF117,"-")</f>
        <v>-</v>
      </c>
      <c r="AO117" s="23">
        <f>IFERROR(SUM(AO107:AO116),"-")</f>
        <v>0</v>
      </c>
      <c r="AP117" s="22"/>
    </row>
    <row r="118" spans="1:42" ht="15.75" customHeight="1" x14ac:dyDescent="0.3">
      <c r="A118" s="33"/>
      <c r="B118" s="34"/>
      <c r="C118" s="34"/>
      <c r="D118" s="34"/>
      <c r="E118" s="33"/>
      <c r="F118" s="34"/>
      <c r="G118" s="34"/>
      <c r="H118" s="34"/>
      <c r="I118" s="34"/>
      <c r="J118" s="33"/>
      <c r="K118" s="34"/>
      <c r="L118" s="34"/>
      <c r="M118" s="34"/>
      <c r="N118" s="34"/>
      <c r="O118" s="34"/>
      <c r="P118" s="34"/>
      <c r="Q118" s="34"/>
      <c r="R118" s="33"/>
      <c r="S118" s="34"/>
      <c r="T118" s="34"/>
      <c r="U118" s="34"/>
      <c r="V118" s="34"/>
      <c r="W118" s="34"/>
      <c r="X118" s="34"/>
      <c r="Y118" s="34"/>
      <c r="Z118" s="33"/>
      <c r="AA118" s="34"/>
      <c r="AB118" s="34"/>
      <c r="AC118" s="34"/>
      <c r="AD118" s="33"/>
      <c r="AE118" s="34"/>
      <c r="AF118" s="34"/>
      <c r="AG118" s="34"/>
      <c r="AH118" s="33"/>
      <c r="AI118" s="34"/>
      <c r="AJ118" s="34"/>
      <c r="AK118" s="34"/>
      <c r="AL118" s="33"/>
      <c r="AM118" s="34"/>
      <c r="AN118" s="34"/>
      <c r="AO118" s="34"/>
      <c r="AP118" s="33"/>
    </row>
    <row r="119" spans="1:42" ht="51.75" customHeight="1" x14ac:dyDescent="0.3">
      <c r="A119" s="1"/>
      <c r="B119" s="2" t="s">
        <v>0</v>
      </c>
      <c r="C119" s="2" t="s">
        <v>1</v>
      </c>
      <c r="D119" s="2" t="s">
        <v>2</v>
      </c>
      <c r="E119" s="1"/>
      <c r="F119" s="3" t="s">
        <v>3</v>
      </c>
      <c r="G119" s="2" t="s">
        <v>66</v>
      </c>
      <c r="H119" s="2" t="s">
        <v>67</v>
      </c>
      <c r="I119" s="2" t="s">
        <v>68</v>
      </c>
      <c r="J119" s="1"/>
      <c r="K119" s="4" t="s">
        <v>7</v>
      </c>
      <c r="L119" s="3" t="s">
        <v>8</v>
      </c>
      <c r="M119" s="4" t="s">
        <v>9</v>
      </c>
      <c r="N119" s="3" t="s">
        <v>10</v>
      </c>
      <c r="O119" s="5" t="s">
        <v>11</v>
      </c>
      <c r="P119" s="5" t="s">
        <v>12</v>
      </c>
      <c r="Q119" s="4" t="s">
        <v>13</v>
      </c>
      <c r="R119" s="1"/>
      <c r="S119" s="2" t="s">
        <v>14</v>
      </c>
      <c r="T119" s="2" t="s">
        <v>15</v>
      </c>
      <c r="U119" s="2" t="s">
        <v>16</v>
      </c>
      <c r="V119" s="2" t="s">
        <v>17</v>
      </c>
      <c r="W119" s="2" t="s">
        <v>18</v>
      </c>
      <c r="X119" s="2" t="s">
        <v>19</v>
      </c>
      <c r="Y119" s="2" t="s">
        <v>20</v>
      </c>
      <c r="Z119" s="1"/>
      <c r="AA119" s="6" t="s">
        <v>21</v>
      </c>
      <c r="AB119" s="7" t="s">
        <v>22</v>
      </c>
      <c r="AC119" s="7" t="s">
        <v>23</v>
      </c>
      <c r="AD119" s="1"/>
      <c r="AE119" s="6" t="s">
        <v>24</v>
      </c>
      <c r="AF119" s="8" t="s">
        <v>25</v>
      </c>
      <c r="AG119" s="8" t="s">
        <v>26</v>
      </c>
      <c r="AH119" s="1"/>
      <c r="AI119" s="9" t="s">
        <v>27</v>
      </c>
      <c r="AJ119" s="8" t="s">
        <v>28</v>
      </c>
      <c r="AK119" s="8" t="s">
        <v>56</v>
      </c>
      <c r="AL119" s="1"/>
      <c r="AM119" s="9" t="s">
        <v>30</v>
      </c>
      <c r="AN119" s="8" t="s">
        <v>31</v>
      </c>
      <c r="AO119" s="8" t="s">
        <v>32</v>
      </c>
      <c r="AP119" s="1"/>
    </row>
    <row r="120" spans="1:42" ht="30.75" customHeight="1" x14ac:dyDescent="0.3">
      <c r="A120" s="10"/>
      <c r="B120" s="11"/>
      <c r="C120" s="12"/>
      <c r="D120" s="12"/>
      <c r="E120" s="10"/>
      <c r="F120" s="13" t="s">
        <v>79</v>
      </c>
      <c r="G120" s="14" t="s">
        <v>33</v>
      </c>
      <c r="H120" s="15"/>
      <c r="I120" s="16">
        <f>IFERROR(S120*AA120,"-")</f>
        <v>0</v>
      </c>
      <c r="J120" s="10"/>
      <c r="K120" s="17">
        <f t="shared" ref="K120:K129" si="288">IFERROR((H120*I120),"-")</f>
        <v>0</v>
      </c>
      <c r="L120" s="18"/>
      <c r="M120" s="17">
        <f t="shared" ref="M120:M129" si="289">IFERROR(K120*(1-L120),"-")</f>
        <v>0</v>
      </c>
      <c r="N120" s="19"/>
      <c r="O120" s="17">
        <f t="shared" ref="O120:O129" si="290">IFERROR(M120*(1+N120),"-")</f>
        <v>0</v>
      </c>
      <c r="P120" s="17">
        <f t="shared" ref="P120:P130" si="291">IFERROR(O120*1.22,"-")</f>
        <v>0</v>
      </c>
      <c r="Q120" s="18" t="str">
        <f t="shared" ref="Q120:Q129" si="292">IFERROR(P120/$P$13,"-")</f>
        <v>-</v>
      </c>
      <c r="R120" s="10"/>
      <c r="S120" s="20"/>
      <c r="T120" s="16"/>
      <c r="U120" s="13" t="s">
        <v>35</v>
      </c>
      <c r="V120" s="17" t="str">
        <f t="shared" ref="V120:V130" si="293">IFERROR(P120/S120*1000,"-")</f>
        <v>-</v>
      </c>
      <c r="W120" s="17" t="str">
        <f t="shared" ref="W120:W130" si="294">IFERROR(P120/U120*1000,"-")</f>
        <v>-</v>
      </c>
      <c r="X120" s="16"/>
      <c r="Y120" s="18" t="str">
        <f t="shared" ref="Y120:Y129" si="295">IFERROR(U120/X120,"-")</f>
        <v>-</v>
      </c>
      <c r="Z120" s="10"/>
      <c r="AA120" s="19"/>
      <c r="AB120" s="13">
        <f t="shared" ref="AB120:AB129" si="296">IFERROR(ROUNDDOWN(S120*AA120,0),"-")</f>
        <v>0</v>
      </c>
      <c r="AC120" s="17" t="str">
        <f t="shared" ref="AC120:AC130" si="297">IFERROR(P120/AB120,"-")</f>
        <v>-</v>
      </c>
      <c r="AD120" s="10"/>
      <c r="AE120" s="19"/>
      <c r="AF120" s="13">
        <f t="shared" ref="AF120:AF129" si="298">IF(G120="CPI",AJ120*AE120,IFERROR(ROUNDDOWN(AB120*AE120,0),"-"))</f>
        <v>0</v>
      </c>
      <c r="AG120" s="17" t="str">
        <f t="shared" ref="AG120:AG130" si="299">IFERROR(P120/AF120,"-")</f>
        <v>-</v>
      </c>
      <c r="AH120" s="10"/>
      <c r="AI120" s="19"/>
      <c r="AJ120" s="13">
        <f t="shared" ref="AJ120:AJ129" si="300">IF(G120="CPI",I120,0)</f>
        <v>0</v>
      </c>
      <c r="AK120" s="17" t="str">
        <f t="shared" ref="AK120:AK129" si="301">IFERROR(P120/AJ120,"-")</f>
        <v>-</v>
      </c>
      <c r="AL120" s="10"/>
      <c r="AM120" s="18" t="str">
        <f t="shared" ref="AM120:AM130" si="302">IFERROR(P120/AO120,"-")</f>
        <v>-</v>
      </c>
      <c r="AN120" s="15"/>
      <c r="AO120" s="17">
        <f>AN120*AF120</f>
        <v>0</v>
      </c>
      <c r="AP120" s="10"/>
    </row>
    <row r="121" spans="1:42" ht="30.75" customHeight="1" x14ac:dyDescent="0.3">
      <c r="A121" s="10"/>
      <c r="B121" s="11"/>
      <c r="C121" s="12"/>
      <c r="D121" s="12"/>
      <c r="E121" s="10"/>
      <c r="F121" s="13" t="s">
        <v>79</v>
      </c>
      <c r="G121" s="14" t="s">
        <v>33</v>
      </c>
      <c r="H121" s="15"/>
      <c r="I121" s="16">
        <f t="shared" ref="I121:I129" si="303">IFERROR(S121*AA121,"-")</f>
        <v>0</v>
      </c>
      <c r="J121" s="10"/>
      <c r="K121" s="17">
        <f t="shared" si="288"/>
        <v>0</v>
      </c>
      <c r="L121" s="18"/>
      <c r="M121" s="17">
        <f t="shared" si="289"/>
        <v>0</v>
      </c>
      <c r="N121" s="19"/>
      <c r="O121" s="17">
        <f t="shared" si="290"/>
        <v>0</v>
      </c>
      <c r="P121" s="17">
        <f t="shared" si="291"/>
        <v>0</v>
      </c>
      <c r="Q121" s="18" t="str">
        <f t="shared" si="292"/>
        <v>-</v>
      </c>
      <c r="R121" s="10"/>
      <c r="S121" s="20"/>
      <c r="T121" s="16"/>
      <c r="U121" s="13" t="s">
        <v>35</v>
      </c>
      <c r="V121" s="17" t="str">
        <f t="shared" si="293"/>
        <v>-</v>
      </c>
      <c r="W121" s="17" t="str">
        <f t="shared" si="294"/>
        <v>-</v>
      </c>
      <c r="X121" s="16"/>
      <c r="Y121" s="18" t="str">
        <f t="shared" si="295"/>
        <v>-</v>
      </c>
      <c r="Z121" s="10"/>
      <c r="AA121" s="19"/>
      <c r="AB121" s="13">
        <f t="shared" si="296"/>
        <v>0</v>
      </c>
      <c r="AC121" s="17" t="str">
        <f t="shared" si="297"/>
        <v>-</v>
      </c>
      <c r="AD121" s="10"/>
      <c r="AE121" s="19"/>
      <c r="AF121" s="13">
        <f t="shared" si="298"/>
        <v>0</v>
      </c>
      <c r="AG121" s="17" t="str">
        <f t="shared" si="299"/>
        <v>-</v>
      </c>
      <c r="AH121" s="10"/>
      <c r="AI121" s="19"/>
      <c r="AJ121" s="13">
        <f t="shared" si="300"/>
        <v>0</v>
      </c>
      <c r="AK121" s="17" t="str">
        <f t="shared" si="301"/>
        <v>-</v>
      </c>
      <c r="AL121" s="10"/>
      <c r="AM121" s="18" t="str">
        <f t="shared" si="302"/>
        <v>-</v>
      </c>
      <c r="AN121" s="15"/>
      <c r="AO121" s="17">
        <f t="shared" ref="AO121:AO129" si="304">AN121*AF121</f>
        <v>0</v>
      </c>
      <c r="AP121" s="10"/>
    </row>
    <row r="122" spans="1:42" ht="30.75" customHeight="1" x14ac:dyDescent="0.3">
      <c r="A122" s="10"/>
      <c r="B122" s="11"/>
      <c r="C122" s="12"/>
      <c r="D122" s="12"/>
      <c r="E122" s="10"/>
      <c r="F122" s="13" t="s">
        <v>79</v>
      </c>
      <c r="G122" s="14" t="s">
        <v>33</v>
      </c>
      <c r="H122" s="15"/>
      <c r="I122" s="16">
        <f t="shared" ref="I122:I126" si="305">IFERROR(S122*AA122,"-")</f>
        <v>0</v>
      </c>
      <c r="J122" s="10"/>
      <c r="K122" s="17">
        <f t="shared" ref="K122:K126" si="306">IFERROR((H122*I122),"-")</f>
        <v>0</v>
      </c>
      <c r="L122" s="18"/>
      <c r="M122" s="17">
        <f t="shared" ref="M122:M126" si="307">IFERROR(K122*(1-L122),"-")</f>
        <v>0</v>
      </c>
      <c r="N122" s="19"/>
      <c r="O122" s="17">
        <f t="shared" ref="O122:O126" si="308">IFERROR(M122*(1+N122),"-")</f>
        <v>0</v>
      </c>
      <c r="P122" s="17">
        <f t="shared" si="291"/>
        <v>0</v>
      </c>
      <c r="Q122" s="18" t="str">
        <f t="shared" ref="Q122:Q126" si="309">IFERROR(P122/$P$13,"-")</f>
        <v>-</v>
      </c>
      <c r="R122" s="10"/>
      <c r="S122" s="20"/>
      <c r="T122" s="16"/>
      <c r="U122" s="13" t="s">
        <v>35</v>
      </c>
      <c r="V122" s="17" t="str">
        <f t="shared" ref="V122:V126" si="310">IFERROR(P122/S122*1000,"-")</f>
        <v>-</v>
      </c>
      <c r="W122" s="17" t="str">
        <f t="shared" ref="W122:W126" si="311">IFERROR(P122/U122*1000,"-")</f>
        <v>-</v>
      </c>
      <c r="X122" s="16"/>
      <c r="Y122" s="18" t="str">
        <f t="shared" ref="Y122:Y126" si="312">IFERROR(U122/X122,"-")</f>
        <v>-</v>
      </c>
      <c r="Z122" s="10"/>
      <c r="AA122" s="19"/>
      <c r="AB122" s="13">
        <f t="shared" ref="AB122:AB126" si="313">IFERROR(ROUNDDOWN(S122*AA122,0),"-")</f>
        <v>0</v>
      </c>
      <c r="AC122" s="17" t="str">
        <f t="shared" ref="AC122:AC126" si="314">IFERROR(P122/AB122,"-")</f>
        <v>-</v>
      </c>
      <c r="AD122" s="10"/>
      <c r="AE122" s="19"/>
      <c r="AF122" s="13">
        <f t="shared" ref="AF122:AF126" si="315">IF(G122="CPI",AJ122*AE122,IFERROR(ROUNDDOWN(AB122*AE122,0),"-"))</f>
        <v>0</v>
      </c>
      <c r="AG122" s="17" t="str">
        <f t="shared" ref="AG122:AG126" si="316">IFERROR(P122/AF122,"-")</f>
        <v>-</v>
      </c>
      <c r="AH122" s="10"/>
      <c r="AI122" s="19"/>
      <c r="AJ122" s="13">
        <f t="shared" ref="AJ122:AJ126" si="317">IF(G122="CPI",I122,0)</f>
        <v>0</v>
      </c>
      <c r="AK122" s="17" t="str">
        <f t="shared" ref="AK122:AK126" si="318">IFERROR(P122/AJ122,"-")</f>
        <v>-</v>
      </c>
      <c r="AL122" s="10"/>
      <c r="AM122" s="18" t="str">
        <f t="shared" ref="AM122:AM126" si="319">IFERROR(P122/AO122,"-")</f>
        <v>-</v>
      </c>
      <c r="AN122" s="15"/>
      <c r="AO122" s="17">
        <f t="shared" si="304"/>
        <v>0</v>
      </c>
      <c r="AP122" s="10"/>
    </row>
    <row r="123" spans="1:42" ht="30.75" customHeight="1" x14ac:dyDescent="0.3">
      <c r="A123" s="10"/>
      <c r="B123" s="11"/>
      <c r="C123" s="12"/>
      <c r="D123" s="12"/>
      <c r="E123" s="10"/>
      <c r="F123" s="13" t="s">
        <v>79</v>
      </c>
      <c r="G123" s="14" t="s">
        <v>33</v>
      </c>
      <c r="H123" s="15"/>
      <c r="I123" s="16">
        <f t="shared" si="305"/>
        <v>0</v>
      </c>
      <c r="J123" s="10"/>
      <c r="K123" s="17">
        <f t="shared" si="306"/>
        <v>0</v>
      </c>
      <c r="L123" s="18"/>
      <c r="M123" s="17">
        <f t="shared" si="307"/>
        <v>0</v>
      </c>
      <c r="N123" s="19"/>
      <c r="O123" s="17">
        <f t="shared" si="308"/>
        <v>0</v>
      </c>
      <c r="P123" s="17">
        <f t="shared" si="291"/>
        <v>0</v>
      </c>
      <c r="Q123" s="18" t="str">
        <f t="shared" si="309"/>
        <v>-</v>
      </c>
      <c r="R123" s="10"/>
      <c r="S123" s="20"/>
      <c r="T123" s="16"/>
      <c r="U123" s="13" t="s">
        <v>35</v>
      </c>
      <c r="V123" s="17" t="str">
        <f t="shared" si="310"/>
        <v>-</v>
      </c>
      <c r="W123" s="17" t="str">
        <f t="shared" si="311"/>
        <v>-</v>
      </c>
      <c r="X123" s="16"/>
      <c r="Y123" s="18" t="str">
        <f t="shared" si="312"/>
        <v>-</v>
      </c>
      <c r="Z123" s="10"/>
      <c r="AA123" s="19"/>
      <c r="AB123" s="13">
        <f t="shared" si="313"/>
        <v>0</v>
      </c>
      <c r="AC123" s="17" t="str">
        <f t="shared" si="314"/>
        <v>-</v>
      </c>
      <c r="AD123" s="10"/>
      <c r="AE123" s="19"/>
      <c r="AF123" s="13">
        <f t="shared" si="315"/>
        <v>0</v>
      </c>
      <c r="AG123" s="17" t="str">
        <f t="shared" si="316"/>
        <v>-</v>
      </c>
      <c r="AH123" s="10"/>
      <c r="AI123" s="19"/>
      <c r="AJ123" s="13">
        <f t="shared" si="317"/>
        <v>0</v>
      </c>
      <c r="AK123" s="17" t="str">
        <f t="shared" si="318"/>
        <v>-</v>
      </c>
      <c r="AL123" s="10"/>
      <c r="AM123" s="18" t="str">
        <f t="shared" si="319"/>
        <v>-</v>
      </c>
      <c r="AN123" s="15"/>
      <c r="AO123" s="17">
        <f t="shared" si="304"/>
        <v>0</v>
      </c>
      <c r="AP123" s="10"/>
    </row>
    <row r="124" spans="1:42" ht="30.75" customHeight="1" x14ac:dyDescent="0.3">
      <c r="A124" s="10"/>
      <c r="B124" s="11"/>
      <c r="C124" s="12"/>
      <c r="D124" s="12"/>
      <c r="E124" s="10"/>
      <c r="F124" s="13" t="s">
        <v>79</v>
      </c>
      <c r="G124" s="14" t="s">
        <v>33</v>
      </c>
      <c r="H124" s="15"/>
      <c r="I124" s="16">
        <f t="shared" si="305"/>
        <v>0</v>
      </c>
      <c r="J124" s="10"/>
      <c r="K124" s="17">
        <f t="shared" si="306"/>
        <v>0</v>
      </c>
      <c r="L124" s="18"/>
      <c r="M124" s="17">
        <f t="shared" si="307"/>
        <v>0</v>
      </c>
      <c r="N124" s="19"/>
      <c r="O124" s="17">
        <f t="shared" si="308"/>
        <v>0</v>
      </c>
      <c r="P124" s="17">
        <f t="shared" si="291"/>
        <v>0</v>
      </c>
      <c r="Q124" s="18" t="str">
        <f t="shared" si="309"/>
        <v>-</v>
      </c>
      <c r="R124" s="10"/>
      <c r="S124" s="20"/>
      <c r="T124" s="16"/>
      <c r="U124" s="13" t="s">
        <v>35</v>
      </c>
      <c r="V124" s="17" t="str">
        <f t="shared" si="310"/>
        <v>-</v>
      </c>
      <c r="W124" s="17" t="str">
        <f t="shared" si="311"/>
        <v>-</v>
      </c>
      <c r="X124" s="16"/>
      <c r="Y124" s="18" t="str">
        <f t="shared" si="312"/>
        <v>-</v>
      </c>
      <c r="Z124" s="10"/>
      <c r="AA124" s="19"/>
      <c r="AB124" s="13">
        <f t="shared" si="313"/>
        <v>0</v>
      </c>
      <c r="AC124" s="17" t="str">
        <f t="shared" si="314"/>
        <v>-</v>
      </c>
      <c r="AD124" s="10"/>
      <c r="AE124" s="19"/>
      <c r="AF124" s="13">
        <f t="shared" si="315"/>
        <v>0</v>
      </c>
      <c r="AG124" s="17" t="str">
        <f t="shared" si="316"/>
        <v>-</v>
      </c>
      <c r="AH124" s="10"/>
      <c r="AI124" s="19"/>
      <c r="AJ124" s="13">
        <f t="shared" si="317"/>
        <v>0</v>
      </c>
      <c r="AK124" s="17" t="str">
        <f t="shared" si="318"/>
        <v>-</v>
      </c>
      <c r="AL124" s="10"/>
      <c r="AM124" s="18" t="str">
        <f t="shared" si="319"/>
        <v>-</v>
      </c>
      <c r="AN124" s="15"/>
      <c r="AO124" s="17">
        <f t="shared" si="304"/>
        <v>0</v>
      </c>
      <c r="AP124" s="10"/>
    </row>
    <row r="125" spans="1:42" ht="30.75" customHeight="1" x14ac:dyDescent="0.3">
      <c r="A125" s="10"/>
      <c r="B125" s="11"/>
      <c r="C125" s="12"/>
      <c r="D125" s="12"/>
      <c r="E125" s="10"/>
      <c r="F125" s="13" t="s">
        <v>79</v>
      </c>
      <c r="G125" s="14" t="s">
        <v>33</v>
      </c>
      <c r="H125" s="15"/>
      <c r="I125" s="16">
        <f t="shared" si="305"/>
        <v>0</v>
      </c>
      <c r="J125" s="10"/>
      <c r="K125" s="17">
        <f t="shared" si="306"/>
        <v>0</v>
      </c>
      <c r="L125" s="18"/>
      <c r="M125" s="17">
        <f t="shared" si="307"/>
        <v>0</v>
      </c>
      <c r="N125" s="19"/>
      <c r="O125" s="17">
        <f t="shared" si="308"/>
        <v>0</v>
      </c>
      <c r="P125" s="17">
        <f t="shared" si="291"/>
        <v>0</v>
      </c>
      <c r="Q125" s="18" t="str">
        <f t="shared" si="309"/>
        <v>-</v>
      </c>
      <c r="R125" s="10"/>
      <c r="S125" s="20"/>
      <c r="T125" s="16"/>
      <c r="U125" s="13" t="s">
        <v>35</v>
      </c>
      <c r="V125" s="17" t="str">
        <f t="shared" si="310"/>
        <v>-</v>
      </c>
      <c r="W125" s="17" t="str">
        <f t="shared" si="311"/>
        <v>-</v>
      </c>
      <c r="X125" s="16"/>
      <c r="Y125" s="18" t="str">
        <f t="shared" si="312"/>
        <v>-</v>
      </c>
      <c r="Z125" s="10"/>
      <c r="AA125" s="19"/>
      <c r="AB125" s="13">
        <f t="shared" si="313"/>
        <v>0</v>
      </c>
      <c r="AC125" s="17" t="str">
        <f t="shared" si="314"/>
        <v>-</v>
      </c>
      <c r="AD125" s="10"/>
      <c r="AE125" s="19"/>
      <c r="AF125" s="13">
        <f t="shared" si="315"/>
        <v>0</v>
      </c>
      <c r="AG125" s="17" t="str">
        <f t="shared" si="316"/>
        <v>-</v>
      </c>
      <c r="AH125" s="10"/>
      <c r="AI125" s="19"/>
      <c r="AJ125" s="13">
        <f t="shared" si="317"/>
        <v>0</v>
      </c>
      <c r="AK125" s="17" t="str">
        <f t="shared" si="318"/>
        <v>-</v>
      </c>
      <c r="AL125" s="10"/>
      <c r="AM125" s="18" t="str">
        <f t="shared" si="319"/>
        <v>-</v>
      </c>
      <c r="AN125" s="15"/>
      <c r="AO125" s="17">
        <f t="shared" si="304"/>
        <v>0</v>
      </c>
      <c r="AP125" s="10"/>
    </row>
    <row r="126" spans="1:42" ht="30.75" customHeight="1" x14ac:dyDescent="0.3">
      <c r="A126" s="10"/>
      <c r="B126" s="11"/>
      <c r="C126" s="12"/>
      <c r="D126" s="12"/>
      <c r="E126" s="10"/>
      <c r="F126" s="13" t="s">
        <v>79</v>
      </c>
      <c r="G126" s="14" t="s">
        <v>33</v>
      </c>
      <c r="H126" s="15"/>
      <c r="I126" s="16">
        <f t="shared" si="305"/>
        <v>0</v>
      </c>
      <c r="J126" s="10"/>
      <c r="K126" s="17">
        <f t="shared" si="306"/>
        <v>0</v>
      </c>
      <c r="L126" s="18"/>
      <c r="M126" s="17">
        <f t="shared" si="307"/>
        <v>0</v>
      </c>
      <c r="N126" s="19"/>
      <c r="O126" s="17">
        <f t="shared" si="308"/>
        <v>0</v>
      </c>
      <c r="P126" s="17">
        <f t="shared" si="291"/>
        <v>0</v>
      </c>
      <c r="Q126" s="18" t="str">
        <f t="shared" si="309"/>
        <v>-</v>
      </c>
      <c r="R126" s="10"/>
      <c r="S126" s="20"/>
      <c r="T126" s="16"/>
      <c r="U126" s="13" t="s">
        <v>35</v>
      </c>
      <c r="V126" s="17" t="str">
        <f t="shared" si="310"/>
        <v>-</v>
      </c>
      <c r="W126" s="17" t="str">
        <f t="shared" si="311"/>
        <v>-</v>
      </c>
      <c r="X126" s="16"/>
      <c r="Y126" s="18" t="str">
        <f t="shared" si="312"/>
        <v>-</v>
      </c>
      <c r="Z126" s="10"/>
      <c r="AA126" s="19"/>
      <c r="AB126" s="13">
        <f t="shared" si="313"/>
        <v>0</v>
      </c>
      <c r="AC126" s="17" t="str">
        <f t="shared" si="314"/>
        <v>-</v>
      </c>
      <c r="AD126" s="10"/>
      <c r="AE126" s="19"/>
      <c r="AF126" s="13">
        <f t="shared" si="315"/>
        <v>0</v>
      </c>
      <c r="AG126" s="17" t="str">
        <f t="shared" si="316"/>
        <v>-</v>
      </c>
      <c r="AH126" s="10"/>
      <c r="AI126" s="19"/>
      <c r="AJ126" s="13">
        <f t="shared" si="317"/>
        <v>0</v>
      </c>
      <c r="AK126" s="17" t="str">
        <f t="shared" si="318"/>
        <v>-</v>
      </c>
      <c r="AL126" s="10"/>
      <c r="AM126" s="18" t="str">
        <f t="shared" si="319"/>
        <v>-</v>
      </c>
      <c r="AN126" s="15"/>
      <c r="AO126" s="17">
        <f t="shared" si="304"/>
        <v>0</v>
      </c>
      <c r="AP126" s="10"/>
    </row>
    <row r="127" spans="1:42" ht="30.75" customHeight="1" x14ac:dyDescent="0.3">
      <c r="A127" s="10"/>
      <c r="B127" s="11"/>
      <c r="C127" s="12"/>
      <c r="D127" s="12"/>
      <c r="E127" s="10"/>
      <c r="F127" s="13" t="s">
        <v>79</v>
      </c>
      <c r="G127" s="14" t="s">
        <v>33</v>
      </c>
      <c r="H127" s="15"/>
      <c r="I127" s="16">
        <f t="shared" si="303"/>
        <v>0</v>
      </c>
      <c r="J127" s="10"/>
      <c r="K127" s="17">
        <f t="shared" si="288"/>
        <v>0</v>
      </c>
      <c r="L127" s="18"/>
      <c r="M127" s="17">
        <f t="shared" si="289"/>
        <v>0</v>
      </c>
      <c r="N127" s="19"/>
      <c r="O127" s="17">
        <f t="shared" si="290"/>
        <v>0</v>
      </c>
      <c r="P127" s="17">
        <f t="shared" si="291"/>
        <v>0</v>
      </c>
      <c r="Q127" s="18" t="str">
        <f t="shared" si="292"/>
        <v>-</v>
      </c>
      <c r="R127" s="10"/>
      <c r="S127" s="20"/>
      <c r="T127" s="16"/>
      <c r="U127" s="13" t="s">
        <v>35</v>
      </c>
      <c r="V127" s="17" t="str">
        <f t="shared" si="293"/>
        <v>-</v>
      </c>
      <c r="W127" s="17" t="str">
        <f t="shared" si="294"/>
        <v>-</v>
      </c>
      <c r="X127" s="16"/>
      <c r="Y127" s="18" t="str">
        <f t="shared" si="295"/>
        <v>-</v>
      </c>
      <c r="Z127" s="10"/>
      <c r="AA127" s="19"/>
      <c r="AB127" s="13">
        <f t="shared" si="296"/>
        <v>0</v>
      </c>
      <c r="AC127" s="17" t="str">
        <f t="shared" si="297"/>
        <v>-</v>
      </c>
      <c r="AD127" s="10"/>
      <c r="AE127" s="19"/>
      <c r="AF127" s="13">
        <f t="shared" si="298"/>
        <v>0</v>
      </c>
      <c r="AG127" s="17" t="str">
        <f t="shared" si="299"/>
        <v>-</v>
      </c>
      <c r="AH127" s="10"/>
      <c r="AI127" s="19"/>
      <c r="AJ127" s="13">
        <f t="shared" si="300"/>
        <v>0</v>
      </c>
      <c r="AK127" s="17" t="str">
        <f t="shared" si="301"/>
        <v>-</v>
      </c>
      <c r="AL127" s="10"/>
      <c r="AM127" s="18" t="str">
        <f t="shared" si="302"/>
        <v>-</v>
      </c>
      <c r="AN127" s="15"/>
      <c r="AO127" s="17">
        <f t="shared" si="304"/>
        <v>0</v>
      </c>
      <c r="AP127" s="10"/>
    </row>
    <row r="128" spans="1:42" ht="30.75" customHeight="1" x14ac:dyDescent="0.3">
      <c r="A128" s="10"/>
      <c r="B128" s="11"/>
      <c r="C128" s="12"/>
      <c r="D128" s="12"/>
      <c r="E128" s="10"/>
      <c r="F128" s="13" t="s">
        <v>79</v>
      </c>
      <c r="G128" s="14" t="s">
        <v>33</v>
      </c>
      <c r="H128" s="15"/>
      <c r="I128" s="16">
        <f t="shared" si="303"/>
        <v>0</v>
      </c>
      <c r="J128" s="10"/>
      <c r="K128" s="17">
        <f t="shared" si="288"/>
        <v>0</v>
      </c>
      <c r="L128" s="18"/>
      <c r="M128" s="17">
        <f t="shared" si="289"/>
        <v>0</v>
      </c>
      <c r="N128" s="19"/>
      <c r="O128" s="17">
        <f t="shared" si="290"/>
        <v>0</v>
      </c>
      <c r="P128" s="17">
        <f t="shared" si="291"/>
        <v>0</v>
      </c>
      <c r="Q128" s="18" t="str">
        <f t="shared" si="292"/>
        <v>-</v>
      </c>
      <c r="R128" s="10"/>
      <c r="S128" s="20"/>
      <c r="T128" s="16"/>
      <c r="U128" s="13" t="s">
        <v>35</v>
      </c>
      <c r="V128" s="17" t="str">
        <f t="shared" si="293"/>
        <v>-</v>
      </c>
      <c r="W128" s="17" t="str">
        <f t="shared" si="294"/>
        <v>-</v>
      </c>
      <c r="X128" s="16"/>
      <c r="Y128" s="18" t="str">
        <f t="shared" si="295"/>
        <v>-</v>
      </c>
      <c r="Z128" s="10"/>
      <c r="AA128" s="19"/>
      <c r="AB128" s="13">
        <f t="shared" si="296"/>
        <v>0</v>
      </c>
      <c r="AC128" s="17" t="str">
        <f t="shared" si="297"/>
        <v>-</v>
      </c>
      <c r="AD128" s="10"/>
      <c r="AE128" s="19"/>
      <c r="AF128" s="13">
        <f t="shared" si="298"/>
        <v>0</v>
      </c>
      <c r="AG128" s="17" t="str">
        <f t="shared" si="299"/>
        <v>-</v>
      </c>
      <c r="AH128" s="10"/>
      <c r="AI128" s="19"/>
      <c r="AJ128" s="13">
        <f t="shared" si="300"/>
        <v>0</v>
      </c>
      <c r="AK128" s="17" t="str">
        <f t="shared" si="301"/>
        <v>-</v>
      </c>
      <c r="AL128" s="10"/>
      <c r="AM128" s="18" t="str">
        <f t="shared" si="302"/>
        <v>-</v>
      </c>
      <c r="AN128" s="15"/>
      <c r="AO128" s="17">
        <f t="shared" si="304"/>
        <v>0</v>
      </c>
      <c r="AP128" s="10"/>
    </row>
    <row r="129" spans="1:42" ht="30.75" customHeight="1" x14ac:dyDescent="0.3">
      <c r="A129" s="10"/>
      <c r="B129" s="11"/>
      <c r="C129" s="12"/>
      <c r="D129" s="12"/>
      <c r="E129" s="10"/>
      <c r="F129" s="13" t="s">
        <v>79</v>
      </c>
      <c r="G129" s="14" t="s">
        <v>33</v>
      </c>
      <c r="H129" s="15"/>
      <c r="I129" s="16">
        <f t="shared" si="303"/>
        <v>0</v>
      </c>
      <c r="J129" s="10"/>
      <c r="K129" s="17">
        <f t="shared" si="288"/>
        <v>0</v>
      </c>
      <c r="L129" s="18"/>
      <c r="M129" s="17">
        <f t="shared" si="289"/>
        <v>0</v>
      </c>
      <c r="N129" s="19"/>
      <c r="O129" s="17">
        <f t="shared" si="290"/>
        <v>0</v>
      </c>
      <c r="P129" s="17">
        <f t="shared" si="291"/>
        <v>0</v>
      </c>
      <c r="Q129" s="18" t="str">
        <f t="shared" si="292"/>
        <v>-</v>
      </c>
      <c r="R129" s="10"/>
      <c r="S129" s="20"/>
      <c r="T129" s="16"/>
      <c r="U129" s="13" t="s">
        <v>35</v>
      </c>
      <c r="V129" s="17" t="str">
        <f t="shared" si="293"/>
        <v>-</v>
      </c>
      <c r="W129" s="17" t="str">
        <f t="shared" si="294"/>
        <v>-</v>
      </c>
      <c r="X129" s="16"/>
      <c r="Y129" s="18" t="str">
        <f t="shared" si="295"/>
        <v>-</v>
      </c>
      <c r="Z129" s="10"/>
      <c r="AA129" s="19"/>
      <c r="AB129" s="13">
        <f t="shared" si="296"/>
        <v>0</v>
      </c>
      <c r="AC129" s="17" t="str">
        <f t="shared" si="297"/>
        <v>-</v>
      </c>
      <c r="AD129" s="10"/>
      <c r="AE129" s="19"/>
      <c r="AF129" s="13">
        <f t="shared" si="298"/>
        <v>0</v>
      </c>
      <c r="AG129" s="17" t="str">
        <f t="shared" si="299"/>
        <v>-</v>
      </c>
      <c r="AH129" s="10"/>
      <c r="AI129" s="19"/>
      <c r="AJ129" s="13">
        <f t="shared" si="300"/>
        <v>0</v>
      </c>
      <c r="AK129" s="17" t="str">
        <f t="shared" si="301"/>
        <v>-</v>
      </c>
      <c r="AL129" s="10"/>
      <c r="AM129" s="18" t="str">
        <f t="shared" si="302"/>
        <v>-</v>
      </c>
      <c r="AN129" s="15"/>
      <c r="AO129" s="17">
        <f t="shared" si="304"/>
        <v>0</v>
      </c>
      <c r="AP129" s="10"/>
    </row>
    <row r="130" spans="1:42" ht="17.25" customHeight="1" x14ac:dyDescent="0.3">
      <c r="A130" s="22"/>
      <c r="B130" s="6" t="s">
        <v>34</v>
      </c>
      <c r="C130" s="9" t="s">
        <v>35</v>
      </c>
      <c r="D130" s="9" t="s">
        <v>35</v>
      </c>
      <c r="E130" s="22"/>
      <c r="F130" s="9" t="s">
        <v>35</v>
      </c>
      <c r="G130" s="6" t="s">
        <v>35</v>
      </c>
      <c r="H130" s="5" t="str">
        <f>IFERROR(K130/I130,"-")</f>
        <v>-</v>
      </c>
      <c r="I130" s="25">
        <f>IFERROR(SUM(I120:I129),"-")</f>
        <v>0</v>
      </c>
      <c r="J130" s="22"/>
      <c r="K130" s="23">
        <f>IFERROR(SUM(K120:K129),"-")</f>
        <v>0</v>
      </c>
      <c r="L130" s="6" t="s">
        <v>35</v>
      </c>
      <c r="M130" s="23">
        <f>IFERROR(SUM(M120:M129),"-")</f>
        <v>0</v>
      </c>
      <c r="N130" s="9" t="s">
        <v>35</v>
      </c>
      <c r="O130" s="23">
        <f>IFERROR(SUM(O120:O129),"-")</f>
        <v>0</v>
      </c>
      <c r="P130" s="23">
        <f t="shared" si="291"/>
        <v>0</v>
      </c>
      <c r="Q130" s="24">
        <v>0</v>
      </c>
      <c r="R130" s="22"/>
      <c r="S130" s="25">
        <f>IFERROR(SUM(S120:S129),"-")</f>
        <v>0</v>
      </c>
      <c r="T130" s="25" t="s">
        <v>35</v>
      </c>
      <c r="U130" s="25" t="s">
        <v>35</v>
      </c>
      <c r="V130" s="23" t="str">
        <f t="shared" si="293"/>
        <v>-</v>
      </c>
      <c r="W130" s="23" t="str">
        <f t="shared" si="294"/>
        <v>-</v>
      </c>
      <c r="X130" s="6" t="s">
        <v>35</v>
      </c>
      <c r="Y130" s="6" t="s">
        <v>35</v>
      </c>
      <c r="Z130" s="22"/>
      <c r="AA130" s="24" t="str">
        <f>IFERROR(AB130/S130,"-")</f>
        <v>-</v>
      </c>
      <c r="AB130" s="25">
        <f>IFERROR(SUM(AB120:AB129),"-")</f>
        <v>0</v>
      </c>
      <c r="AC130" s="23" t="str">
        <f t="shared" si="297"/>
        <v>-</v>
      </c>
      <c r="AD130" s="22"/>
      <c r="AE130" s="24" t="str">
        <f>IFERROR(AF130/AB130,"-")</f>
        <v>-</v>
      </c>
      <c r="AF130" s="25">
        <f>IFERROR(SUM(AF120:AF129),"-")</f>
        <v>0</v>
      </c>
      <c r="AG130" s="23" t="str">
        <f t="shared" si="299"/>
        <v>-</v>
      </c>
      <c r="AH130" s="22"/>
      <c r="AI130" s="24" t="str">
        <f>IFERROR(AJ130/AB130,"-")</f>
        <v>-</v>
      </c>
      <c r="AJ130" s="25">
        <v>0</v>
      </c>
      <c r="AK130" s="23" t="str">
        <f>IFERROR(L130/AJ130,"-")</f>
        <v>-</v>
      </c>
      <c r="AL130" s="22"/>
      <c r="AM130" s="24" t="str">
        <f t="shared" si="302"/>
        <v>-</v>
      </c>
      <c r="AN130" s="23" t="str">
        <f>IFERROR(AO130/AF130,"-")</f>
        <v>-</v>
      </c>
      <c r="AO130" s="23">
        <f>IFERROR(SUM(AO120:AO129),"-")</f>
        <v>0</v>
      </c>
      <c r="AP130" s="22"/>
    </row>
    <row r="131" spans="1:42" ht="15.75" customHeight="1" x14ac:dyDescent="0.3">
      <c r="A131" s="33"/>
      <c r="B131" s="34"/>
      <c r="C131" s="34"/>
      <c r="D131" s="34"/>
      <c r="E131" s="33"/>
      <c r="F131" s="34"/>
      <c r="G131" s="34"/>
      <c r="H131" s="34"/>
      <c r="I131" s="34"/>
      <c r="J131" s="33"/>
      <c r="K131" s="34"/>
      <c r="L131" s="34"/>
      <c r="M131" s="34"/>
      <c r="N131" s="34"/>
      <c r="O131" s="34"/>
      <c r="P131" s="34"/>
      <c r="Q131" s="34"/>
      <c r="R131" s="33"/>
      <c r="S131" s="34"/>
      <c r="T131" s="34"/>
      <c r="U131" s="34"/>
      <c r="V131" s="34"/>
      <c r="W131" s="34"/>
      <c r="X131" s="34"/>
      <c r="Y131" s="34"/>
      <c r="Z131" s="33"/>
      <c r="AA131" s="34"/>
      <c r="AB131" s="34"/>
      <c r="AC131" s="34"/>
      <c r="AD131" s="33"/>
      <c r="AE131" s="34"/>
      <c r="AF131" s="34"/>
      <c r="AG131" s="34"/>
      <c r="AH131" s="33"/>
      <c r="AI131" s="34"/>
      <c r="AJ131" s="34"/>
      <c r="AK131" s="34"/>
      <c r="AL131" s="33"/>
      <c r="AM131" s="34"/>
      <c r="AN131" s="34"/>
      <c r="AO131" s="34"/>
      <c r="AP131" s="33"/>
    </row>
    <row r="132" spans="1:42" ht="51.75" customHeight="1" x14ac:dyDescent="0.3">
      <c r="A132" s="1"/>
      <c r="B132" s="2" t="s">
        <v>0</v>
      </c>
      <c r="C132" s="2" t="s">
        <v>1</v>
      </c>
      <c r="D132" s="2" t="s">
        <v>2</v>
      </c>
      <c r="E132" s="1"/>
      <c r="F132" s="3" t="s">
        <v>3</v>
      </c>
      <c r="G132" s="2" t="s">
        <v>66</v>
      </c>
      <c r="H132" s="2" t="s">
        <v>67</v>
      </c>
      <c r="I132" s="2" t="s">
        <v>68</v>
      </c>
      <c r="J132" s="1"/>
      <c r="K132" s="4" t="s">
        <v>7</v>
      </c>
      <c r="L132" s="3" t="s">
        <v>8</v>
      </c>
      <c r="M132" s="4" t="s">
        <v>9</v>
      </c>
      <c r="N132" s="3" t="s">
        <v>10</v>
      </c>
      <c r="O132" s="5" t="s">
        <v>11</v>
      </c>
      <c r="P132" s="5" t="s">
        <v>12</v>
      </c>
      <c r="Q132" s="4" t="s">
        <v>13</v>
      </c>
      <c r="R132" s="1"/>
      <c r="S132" s="2" t="s">
        <v>14</v>
      </c>
      <c r="T132" s="2" t="s">
        <v>15</v>
      </c>
      <c r="U132" s="2" t="s">
        <v>16</v>
      </c>
      <c r="V132" s="2" t="s">
        <v>17</v>
      </c>
      <c r="W132" s="2" t="s">
        <v>18</v>
      </c>
      <c r="X132" s="2" t="s">
        <v>19</v>
      </c>
      <c r="Y132" s="2" t="s">
        <v>20</v>
      </c>
      <c r="Z132" s="1"/>
      <c r="AA132" s="6" t="s">
        <v>21</v>
      </c>
      <c r="AB132" s="7" t="s">
        <v>22</v>
      </c>
      <c r="AC132" s="7" t="s">
        <v>23</v>
      </c>
      <c r="AD132" s="1"/>
      <c r="AE132" s="6" t="s">
        <v>24</v>
      </c>
      <c r="AF132" s="8" t="s">
        <v>25</v>
      </c>
      <c r="AG132" s="7" t="s">
        <v>69</v>
      </c>
      <c r="AH132" s="1"/>
      <c r="AI132" s="9" t="s">
        <v>27</v>
      </c>
      <c r="AJ132" s="8" t="s">
        <v>28</v>
      </c>
      <c r="AK132" s="8" t="s">
        <v>56</v>
      </c>
      <c r="AL132" s="1"/>
      <c r="AM132" s="9" t="s">
        <v>30</v>
      </c>
      <c r="AN132" s="8" t="s">
        <v>31</v>
      </c>
      <c r="AO132" s="8" t="s">
        <v>32</v>
      </c>
      <c r="AP132" s="1"/>
    </row>
    <row r="133" spans="1:42" ht="30.75" customHeight="1" x14ac:dyDescent="0.3">
      <c r="A133" s="10"/>
      <c r="B133" s="11"/>
      <c r="C133" s="12"/>
      <c r="D133" s="12"/>
      <c r="E133" s="10"/>
      <c r="F133" s="13" t="s">
        <v>80</v>
      </c>
      <c r="G133" s="14" t="s">
        <v>33</v>
      </c>
      <c r="H133" s="15"/>
      <c r="I133" s="16">
        <f>IFERROR(S133*AA133,"-")</f>
        <v>0</v>
      </c>
      <c r="J133" s="10"/>
      <c r="K133" s="17">
        <f t="shared" ref="K133:K142" si="320">IFERROR((H133*I133),"-")</f>
        <v>0</v>
      </c>
      <c r="L133" s="18"/>
      <c r="M133" s="17">
        <f t="shared" ref="M133:M142" si="321">IFERROR(K133*(1-L133),"-")</f>
        <v>0</v>
      </c>
      <c r="N133" s="19"/>
      <c r="O133" s="17">
        <f t="shared" ref="O133:O142" si="322">IFERROR(M133*(1+N133),"-")</f>
        <v>0</v>
      </c>
      <c r="P133" s="17">
        <f t="shared" ref="P133:P143" si="323">IFERROR(O133*1.22,"-")</f>
        <v>0</v>
      </c>
      <c r="Q133" s="18" t="str">
        <f t="shared" ref="Q133:Q142" si="324">IFERROR(P133/$P$13,"-")</f>
        <v>-</v>
      </c>
      <c r="R133" s="10"/>
      <c r="S133" s="20"/>
      <c r="T133" s="16"/>
      <c r="U133" s="13" t="s">
        <v>35</v>
      </c>
      <c r="V133" s="17" t="str">
        <f t="shared" ref="V133:V143" si="325">IFERROR(P133/S133*1000,"-")</f>
        <v>-</v>
      </c>
      <c r="W133" s="17" t="str">
        <f t="shared" ref="W133:W143" si="326">IFERROR(P133/U133*1000,"-")</f>
        <v>-</v>
      </c>
      <c r="X133" s="16"/>
      <c r="Y133" s="18" t="str">
        <f t="shared" ref="Y133:Y142" si="327">IFERROR(U133/X133,"-")</f>
        <v>-</v>
      </c>
      <c r="Z133" s="10"/>
      <c r="AA133" s="19"/>
      <c r="AB133" s="13">
        <f t="shared" ref="AB133:AB142" si="328">IFERROR(ROUNDDOWN(S133*AA133,0),"-")</f>
        <v>0</v>
      </c>
      <c r="AC133" s="17" t="str">
        <f t="shared" ref="AC133:AC143" si="329">IFERROR(P133/AB133,"-")</f>
        <v>-</v>
      </c>
      <c r="AD133" s="10"/>
      <c r="AE133" s="19"/>
      <c r="AF133" s="13">
        <f t="shared" ref="AF133:AF142" si="330">IF(G133="CPI",AJ133*AE133,IFERROR(ROUNDDOWN(AB133*AE133,0),"-"))</f>
        <v>0</v>
      </c>
      <c r="AG133" s="17" t="str">
        <f t="shared" ref="AG133:AG143" si="331">IFERROR(P133/AF133,"-")</f>
        <v>-</v>
      </c>
      <c r="AH133" s="10"/>
      <c r="AI133" s="19"/>
      <c r="AJ133" s="13">
        <f t="shared" ref="AJ133:AJ142" si="332">IF(G133="CPI",I133,0)</f>
        <v>0</v>
      </c>
      <c r="AK133" s="17" t="str">
        <f t="shared" ref="AK133:AK142" si="333">IFERROR(P133/AJ133,"-")</f>
        <v>-</v>
      </c>
      <c r="AL133" s="10"/>
      <c r="AM133" s="18" t="str">
        <f t="shared" ref="AM133:AM143" si="334">IFERROR(P133/AO133,"-")</f>
        <v>-</v>
      </c>
      <c r="AN133" s="15"/>
      <c r="AO133" s="17">
        <f>AN133*AF133</f>
        <v>0</v>
      </c>
      <c r="AP133" s="10"/>
    </row>
    <row r="134" spans="1:42" ht="30.75" customHeight="1" x14ac:dyDescent="0.3">
      <c r="A134" s="10"/>
      <c r="B134" s="11"/>
      <c r="C134" s="12"/>
      <c r="D134" s="12"/>
      <c r="E134" s="10"/>
      <c r="F134" s="13" t="s">
        <v>80</v>
      </c>
      <c r="G134" s="14" t="s">
        <v>33</v>
      </c>
      <c r="H134" s="15"/>
      <c r="I134" s="16">
        <f t="shared" ref="I134:I142" si="335">IFERROR(S134*AA134,"-")</f>
        <v>0</v>
      </c>
      <c r="J134" s="10"/>
      <c r="K134" s="17">
        <f t="shared" si="320"/>
        <v>0</v>
      </c>
      <c r="L134" s="18"/>
      <c r="M134" s="17">
        <f t="shared" si="321"/>
        <v>0</v>
      </c>
      <c r="N134" s="19"/>
      <c r="O134" s="17">
        <f t="shared" si="322"/>
        <v>0</v>
      </c>
      <c r="P134" s="17">
        <f t="shared" si="323"/>
        <v>0</v>
      </c>
      <c r="Q134" s="18" t="str">
        <f t="shared" si="324"/>
        <v>-</v>
      </c>
      <c r="R134" s="10"/>
      <c r="S134" s="20"/>
      <c r="T134" s="16"/>
      <c r="U134" s="13" t="s">
        <v>35</v>
      </c>
      <c r="V134" s="17" t="str">
        <f t="shared" si="325"/>
        <v>-</v>
      </c>
      <c r="W134" s="17" t="str">
        <f t="shared" si="326"/>
        <v>-</v>
      </c>
      <c r="X134" s="16"/>
      <c r="Y134" s="18" t="str">
        <f t="shared" si="327"/>
        <v>-</v>
      </c>
      <c r="Z134" s="10"/>
      <c r="AA134" s="19"/>
      <c r="AB134" s="13">
        <f t="shared" si="328"/>
        <v>0</v>
      </c>
      <c r="AC134" s="17" t="str">
        <f t="shared" si="329"/>
        <v>-</v>
      </c>
      <c r="AD134" s="10"/>
      <c r="AE134" s="19"/>
      <c r="AF134" s="13">
        <f t="shared" si="330"/>
        <v>0</v>
      </c>
      <c r="AG134" s="17" t="str">
        <f t="shared" si="331"/>
        <v>-</v>
      </c>
      <c r="AH134" s="10"/>
      <c r="AI134" s="19"/>
      <c r="AJ134" s="13">
        <f t="shared" si="332"/>
        <v>0</v>
      </c>
      <c r="AK134" s="17" t="str">
        <f t="shared" si="333"/>
        <v>-</v>
      </c>
      <c r="AL134" s="10"/>
      <c r="AM134" s="18" t="str">
        <f t="shared" si="334"/>
        <v>-</v>
      </c>
      <c r="AN134" s="15"/>
      <c r="AO134" s="17">
        <f t="shared" ref="AO134:AO142" si="336">AN134*AF134</f>
        <v>0</v>
      </c>
      <c r="AP134" s="10"/>
    </row>
    <row r="135" spans="1:42" ht="30.75" customHeight="1" x14ac:dyDescent="0.3">
      <c r="A135" s="10"/>
      <c r="B135" s="11"/>
      <c r="C135" s="12"/>
      <c r="D135" s="12"/>
      <c r="E135" s="10"/>
      <c r="F135" s="13" t="s">
        <v>80</v>
      </c>
      <c r="G135" s="14" t="s">
        <v>33</v>
      </c>
      <c r="H135" s="15"/>
      <c r="I135" s="16">
        <f t="shared" ref="I135:I139" si="337">IFERROR(S135*AA135,"-")</f>
        <v>0</v>
      </c>
      <c r="J135" s="10"/>
      <c r="K135" s="17">
        <f t="shared" ref="K135:K139" si="338">IFERROR((H135*I135),"-")</f>
        <v>0</v>
      </c>
      <c r="L135" s="18"/>
      <c r="M135" s="17">
        <f t="shared" ref="M135:M139" si="339">IFERROR(K135*(1-L135),"-")</f>
        <v>0</v>
      </c>
      <c r="N135" s="19"/>
      <c r="O135" s="17">
        <f t="shared" ref="O135:O139" si="340">IFERROR(M135*(1+N135),"-")</f>
        <v>0</v>
      </c>
      <c r="P135" s="17">
        <f t="shared" si="323"/>
        <v>0</v>
      </c>
      <c r="Q135" s="18" t="str">
        <f t="shared" ref="Q135:Q139" si="341">IFERROR(P135/$P$13,"-")</f>
        <v>-</v>
      </c>
      <c r="R135" s="10"/>
      <c r="S135" s="20"/>
      <c r="T135" s="16"/>
      <c r="U135" s="13" t="s">
        <v>35</v>
      </c>
      <c r="V135" s="17" t="str">
        <f t="shared" ref="V135:V139" si="342">IFERROR(P135/S135*1000,"-")</f>
        <v>-</v>
      </c>
      <c r="W135" s="17" t="str">
        <f t="shared" ref="W135:W139" si="343">IFERROR(P135/U135*1000,"-")</f>
        <v>-</v>
      </c>
      <c r="X135" s="16"/>
      <c r="Y135" s="18" t="str">
        <f t="shared" ref="Y135:Y139" si="344">IFERROR(U135/X135,"-")</f>
        <v>-</v>
      </c>
      <c r="Z135" s="10"/>
      <c r="AA135" s="19"/>
      <c r="AB135" s="13">
        <f t="shared" ref="AB135:AB139" si="345">IFERROR(ROUNDDOWN(S135*AA135,0),"-")</f>
        <v>0</v>
      </c>
      <c r="AC135" s="17" t="str">
        <f t="shared" ref="AC135:AC139" si="346">IFERROR(P135/AB135,"-")</f>
        <v>-</v>
      </c>
      <c r="AD135" s="10"/>
      <c r="AE135" s="19"/>
      <c r="AF135" s="13">
        <f t="shared" ref="AF135:AF139" si="347">IF(G135="CPI",AJ135*AE135,IFERROR(ROUNDDOWN(AB135*AE135,0),"-"))</f>
        <v>0</v>
      </c>
      <c r="AG135" s="17" t="str">
        <f t="shared" ref="AG135:AG139" si="348">IFERROR(P135/AF135,"-")</f>
        <v>-</v>
      </c>
      <c r="AH135" s="10"/>
      <c r="AI135" s="19"/>
      <c r="AJ135" s="13">
        <f t="shared" ref="AJ135:AJ139" si="349">IF(G135="CPI",I135,0)</f>
        <v>0</v>
      </c>
      <c r="AK135" s="17" t="str">
        <f t="shared" ref="AK135:AK139" si="350">IFERROR(P135/AJ135,"-")</f>
        <v>-</v>
      </c>
      <c r="AL135" s="10"/>
      <c r="AM135" s="18" t="str">
        <f t="shared" ref="AM135:AM139" si="351">IFERROR(P135/AO135,"-")</f>
        <v>-</v>
      </c>
      <c r="AN135" s="15"/>
      <c r="AO135" s="17">
        <f t="shared" si="336"/>
        <v>0</v>
      </c>
      <c r="AP135" s="10"/>
    </row>
    <row r="136" spans="1:42" ht="30.75" customHeight="1" x14ac:dyDescent="0.3">
      <c r="A136" s="10"/>
      <c r="B136" s="11"/>
      <c r="C136" s="12"/>
      <c r="D136" s="12"/>
      <c r="E136" s="10"/>
      <c r="F136" s="13" t="s">
        <v>80</v>
      </c>
      <c r="G136" s="14" t="s">
        <v>33</v>
      </c>
      <c r="H136" s="15"/>
      <c r="I136" s="16">
        <f t="shared" si="337"/>
        <v>0</v>
      </c>
      <c r="J136" s="10"/>
      <c r="K136" s="17">
        <f t="shared" si="338"/>
        <v>0</v>
      </c>
      <c r="L136" s="18"/>
      <c r="M136" s="17">
        <f t="shared" si="339"/>
        <v>0</v>
      </c>
      <c r="N136" s="19"/>
      <c r="O136" s="17">
        <f t="shared" si="340"/>
        <v>0</v>
      </c>
      <c r="P136" s="17">
        <f t="shared" si="323"/>
        <v>0</v>
      </c>
      <c r="Q136" s="18" t="str">
        <f t="shared" si="341"/>
        <v>-</v>
      </c>
      <c r="R136" s="10"/>
      <c r="S136" s="20"/>
      <c r="T136" s="16"/>
      <c r="U136" s="13" t="s">
        <v>35</v>
      </c>
      <c r="V136" s="17" t="str">
        <f t="shared" si="342"/>
        <v>-</v>
      </c>
      <c r="W136" s="17" t="str">
        <f t="shared" si="343"/>
        <v>-</v>
      </c>
      <c r="X136" s="16"/>
      <c r="Y136" s="18" t="str">
        <f t="shared" si="344"/>
        <v>-</v>
      </c>
      <c r="Z136" s="10"/>
      <c r="AA136" s="19"/>
      <c r="AB136" s="13">
        <f t="shared" si="345"/>
        <v>0</v>
      </c>
      <c r="AC136" s="17" t="str">
        <f t="shared" si="346"/>
        <v>-</v>
      </c>
      <c r="AD136" s="10"/>
      <c r="AE136" s="19"/>
      <c r="AF136" s="13">
        <f t="shared" si="347"/>
        <v>0</v>
      </c>
      <c r="AG136" s="17" t="str">
        <f t="shared" si="348"/>
        <v>-</v>
      </c>
      <c r="AH136" s="10"/>
      <c r="AI136" s="19"/>
      <c r="AJ136" s="13">
        <f t="shared" si="349"/>
        <v>0</v>
      </c>
      <c r="AK136" s="17" t="str">
        <f t="shared" si="350"/>
        <v>-</v>
      </c>
      <c r="AL136" s="10"/>
      <c r="AM136" s="18" t="str">
        <f t="shared" si="351"/>
        <v>-</v>
      </c>
      <c r="AN136" s="15"/>
      <c r="AO136" s="17">
        <f t="shared" si="336"/>
        <v>0</v>
      </c>
      <c r="AP136" s="10"/>
    </row>
    <row r="137" spans="1:42" ht="30.75" customHeight="1" x14ac:dyDescent="0.3">
      <c r="A137" s="10"/>
      <c r="B137" s="11"/>
      <c r="C137" s="12"/>
      <c r="D137" s="12"/>
      <c r="E137" s="10"/>
      <c r="F137" s="13" t="s">
        <v>80</v>
      </c>
      <c r="G137" s="14" t="s">
        <v>33</v>
      </c>
      <c r="H137" s="15"/>
      <c r="I137" s="16">
        <f t="shared" si="337"/>
        <v>0</v>
      </c>
      <c r="J137" s="10"/>
      <c r="K137" s="17">
        <f t="shared" si="338"/>
        <v>0</v>
      </c>
      <c r="L137" s="18"/>
      <c r="M137" s="17">
        <f t="shared" si="339"/>
        <v>0</v>
      </c>
      <c r="N137" s="19"/>
      <c r="O137" s="17">
        <f t="shared" si="340"/>
        <v>0</v>
      </c>
      <c r="P137" s="17">
        <f t="shared" si="323"/>
        <v>0</v>
      </c>
      <c r="Q137" s="18" t="str">
        <f t="shared" si="341"/>
        <v>-</v>
      </c>
      <c r="R137" s="10"/>
      <c r="S137" s="20"/>
      <c r="T137" s="16"/>
      <c r="U137" s="13" t="s">
        <v>35</v>
      </c>
      <c r="V137" s="17" t="str">
        <f t="shared" si="342"/>
        <v>-</v>
      </c>
      <c r="W137" s="17" t="str">
        <f t="shared" si="343"/>
        <v>-</v>
      </c>
      <c r="X137" s="16"/>
      <c r="Y137" s="18" t="str">
        <f t="shared" si="344"/>
        <v>-</v>
      </c>
      <c r="Z137" s="10"/>
      <c r="AA137" s="19"/>
      <c r="AB137" s="13">
        <f t="shared" si="345"/>
        <v>0</v>
      </c>
      <c r="AC137" s="17" t="str">
        <f t="shared" si="346"/>
        <v>-</v>
      </c>
      <c r="AD137" s="10"/>
      <c r="AE137" s="19"/>
      <c r="AF137" s="13">
        <f t="shared" si="347"/>
        <v>0</v>
      </c>
      <c r="AG137" s="17" t="str">
        <f t="shared" si="348"/>
        <v>-</v>
      </c>
      <c r="AH137" s="10"/>
      <c r="AI137" s="19"/>
      <c r="AJ137" s="13">
        <f t="shared" si="349"/>
        <v>0</v>
      </c>
      <c r="AK137" s="17" t="str">
        <f t="shared" si="350"/>
        <v>-</v>
      </c>
      <c r="AL137" s="10"/>
      <c r="AM137" s="18" t="str">
        <f t="shared" si="351"/>
        <v>-</v>
      </c>
      <c r="AN137" s="15"/>
      <c r="AO137" s="17">
        <f t="shared" si="336"/>
        <v>0</v>
      </c>
      <c r="AP137" s="10"/>
    </row>
    <row r="138" spans="1:42" ht="30.75" customHeight="1" x14ac:dyDescent="0.3">
      <c r="A138" s="10"/>
      <c r="B138" s="11"/>
      <c r="C138" s="12"/>
      <c r="D138" s="12"/>
      <c r="E138" s="10"/>
      <c r="F138" s="13" t="s">
        <v>80</v>
      </c>
      <c r="G138" s="14" t="s">
        <v>33</v>
      </c>
      <c r="H138" s="15"/>
      <c r="I138" s="16">
        <f t="shared" si="337"/>
        <v>0</v>
      </c>
      <c r="J138" s="10"/>
      <c r="K138" s="17">
        <f t="shared" si="338"/>
        <v>0</v>
      </c>
      <c r="L138" s="18"/>
      <c r="M138" s="17">
        <f t="shared" si="339"/>
        <v>0</v>
      </c>
      <c r="N138" s="19"/>
      <c r="O138" s="17">
        <f t="shared" si="340"/>
        <v>0</v>
      </c>
      <c r="P138" s="17">
        <f t="shared" si="323"/>
        <v>0</v>
      </c>
      <c r="Q138" s="18" t="str">
        <f t="shared" si="341"/>
        <v>-</v>
      </c>
      <c r="R138" s="10"/>
      <c r="S138" s="20"/>
      <c r="T138" s="16"/>
      <c r="U138" s="13" t="s">
        <v>35</v>
      </c>
      <c r="V138" s="17" t="str">
        <f t="shared" si="342"/>
        <v>-</v>
      </c>
      <c r="W138" s="17" t="str">
        <f t="shared" si="343"/>
        <v>-</v>
      </c>
      <c r="X138" s="16"/>
      <c r="Y138" s="18" t="str">
        <f t="shared" si="344"/>
        <v>-</v>
      </c>
      <c r="Z138" s="10"/>
      <c r="AA138" s="19"/>
      <c r="AB138" s="13">
        <f t="shared" si="345"/>
        <v>0</v>
      </c>
      <c r="AC138" s="17" t="str">
        <f t="shared" si="346"/>
        <v>-</v>
      </c>
      <c r="AD138" s="10"/>
      <c r="AE138" s="19"/>
      <c r="AF138" s="13">
        <f t="shared" si="347"/>
        <v>0</v>
      </c>
      <c r="AG138" s="17" t="str">
        <f t="shared" si="348"/>
        <v>-</v>
      </c>
      <c r="AH138" s="10"/>
      <c r="AI138" s="19"/>
      <c r="AJ138" s="13">
        <f t="shared" si="349"/>
        <v>0</v>
      </c>
      <c r="AK138" s="17" t="str">
        <f t="shared" si="350"/>
        <v>-</v>
      </c>
      <c r="AL138" s="10"/>
      <c r="AM138" s="18" t="str">
        <f t="shared" si="351"/>
        <v>-</v>
      </c>
      <c r="AN138" s="15"/>
      <c r="AO138" s="17">
        <f t="shared" si="336"/>
        <v>0</v>
      </c>
      <c r="AP138" s="10"/>
    </row>
    <row r="139" spans="1:42" ht="30.75" customHeight="1" x14ac:dyDescent="0.3">
      <c r="A139" s="10"/>
      <c r="B139" s="11"/>
      <c r="C139" s="12"/>
      <c r="D139" s="12"/>
      <c r="E139" s="10"/>
      <c r="F139" s="13" t="s">
        <v>80</v>
      </c>
      <c r="G139" s="14" t="s">
        <v>33</v>
      </c>
      <c r="H139" s="15"/>
      <c r="I139" s="16">
        <f t="shared" si="337"/>
        <v>0</v>
      </c>
      <c r="J139" s="10"/>
      <c r="K139" s="17">
        <f t="shared" si="338"/>
        <v>0</v>
      </c>
      <c r="L139" s="18"/>
      <c r="M139" s="17">
        <f t="shared" si="339"/>
        <v>0</v>
      </c>
      <c r="N139" s="19"/>
      <c r="O139" s="17">
        <f t="shared" si="340"/>
        <v>0</v>
      </c>
      <c r="P139" s="17">
        <f t="shared" si="323"/>
        <v>0</v>
      </c>
      <c r="Q139" s="18" t="str">
        <f t="shared" si="341"/>
        <v>-</v>
      </c>
      <c r="R139" s="10"/>
      <c r="S139" s="20"/>
      <c r="T139" s="16"/>
      <c r="U139" s="13" t="s">
        <v>35</v>
      </c>
      <c r="V139" s="17" t="str">
        <f t="shared" si="342"/>
        <v>-</v>
      </c>
      <c r="W139" s="17" t="str">
        <f t="shared" si="343"/>
        <v>-</v>
      </c>
      <c r="X139" s="16"/>
      <c r="Y139" s="18" t="str">
        <f t="shared" si="344"/>
        <v>-</v>
      </c>
      <c r="Z139" s="10"/>
      <c r="AA139" s="19"/>
      <c r="AB139" s="13">
        <f t="shared" si="345"/>
        <v>0</v>
      </c>
      <c r="AC139" s="17" t="str">
        <f t="shared" si="346"/>
        <v>-</v>
      </c>
      <c r="AD139" s="10"/>
      <c r="AE139" s="19"/>
      <c r="AF139" s="13">
        <f t="shared" si="347"/>
        <v>0</v>
      </c>
      <c r="AG139" s="17" t="str">
        <f t="shared" si="348"/>
        <v>-</v>
      </c>
      <c r="AH139" s="10"/>
      <c r="AI139" s="19"/>
      <c r="AJ139" s="13">
        <f t="shared" si="349"/>
        <v>0</v>
      </c>
      <c r="AK139" s="17" t="str">
        <f t="shared" si="350"/>
        <v>-</v>
      </c>
      <c r="AL139" s="10"/>
      <c r="AM139" s="18" t="str">
        <f t="shared" si="351"/>
        <v>-</v>
      </c>
      <c r="AN139" s="15"/>
      <c r="AO139" s="17">
        <f t="shared" si="336"/>
        <v>0</v>
      </c>
      <c r="AP139" s="10"/>
    </row>
    <row r="140" spans="1:42" ht="30.75" customHeight="1" x14ac:dyDescent="0.3">
      <c r="A140" s="10"/>
      <c r="B140" s="11"/>
      <c r="C140" s="12"/>
      <c r="D140" s="12"/>
      <c r="E140" s="10"/>
      <c r="F140" s="13" t="s">
        <v>80</v>
      </c>
      <c r="G140" s="14" t="s">
        <v>33</v>
      </c>
      <c r="H140" s="15"/>
      <c r="I140" s="16">
        <f t="shared" si="335"/>
        <v>0</v>
      </c>
      <c r="J140" s="10"/>
      <c r="K140" s="17">
        <f t="shared" si="320"/>
        <v>0</v>
      </c>
      <c r="L140" s="18"/>
      <c r="M140" s="17">
        <f t="shared" si="321"/>
        <v>0</v>
      </c>
      <c r="N140" s="19"/>
      <c r="O140" s="17">
        <f t="shared" si="322"/>
        <v>0</v>
      </c>
      <c r="P140" s="17">
        <f t="shared" si="323"/>
        <v>0</v>
      </c>
      <c r="Q140" s="18" t="str">
        <f t="shared" si="324"/>
        <v>-</v>
      </c>
      <c r="R140" s="10"/>
      <c r="S140" s="20"/>
      <c r="T140" s="16"/>
      <c r="U140" s="13" t="s">
        <v>35</v>
      </c>
      <c r="V140" s="17" t="str">
        <f t="shared" si="325"/>
        <v>-</v>
      </c>
      <c r="W140" s="17" t="str">
        <f t="shared" si="326"/>
        <v>-</v>
      </c>
      <c r="X140" s="16"/>
      <c r="Y140" s="18" t="str">
        <f t="shared" si="327"/>
        <v>-</v>
      </c>
      <c r="Z140" s="10"/>
      <c r="AA140" s="19"/>
      <c r="AB140" s="13">
        <f t="shared" si="328"/>
        <v>0</v>
      </c>
      <c r="AC140" s="17" t="str">
        <f t="shared" si="329"/>
        <v>-</v>
      </c>
      <c r="AD140" s="10"/>
      <c r="AE140" s="19"/>
      <c r="AF140" s="13">
        <f t="shared" si="330"/>
        <v>0</v>
      </c>
      <c r="AG140" s="17" t="str">
        <f t="shared" si="331"/>
        <v>-</v>
      </c>
      <c r="AH140" s="10"/>
      <c r="AI140" s="19"/>
      <c r="AJ140" s="13">
        <f t="shared" si="332"/>
        <v>0</v>
      </c>
      <c r="AK140" s="17" t="str">
        <f t="shared" si="333"/>
        <v>-</v>
      </c>
      <c r="AL140" s="10"/>
      <c r="AM140" s="18" t="str">
        <f t="shared" si="334"/>
        <v>-</v>
      </c>
      <c r="AN140" s="15"/>
      <c r="AO140" s="17">
        <f t="shared" si="336"/>
        <v>0</v>
      </c>
      <c r="AP140" s="10"/>
    </row>
    <row r="141" spans="1:42" ht="30.75" customHeight="1" x14ac:dyDescent="0.3">
      <c r="A141" s="10"/>
      <c r="B141" s="11"/>
      <c r="C141" s="12"/>
      <c r="D141" s="12"/>
      <c r="E141" s="10"/>
      <c r="F141" s="13" t="s">
        <v>80</v>
      </c>
      <c r="G141" s="14" t="s">
        <v>33</v>
      </c>
      <c r="H141" s="15"/>
      <c r="I141" s="16">
        <f t="shared" si="335"/>
        <v>0</v>
      </c>
      <c r="J141" s="10"/>
      <c r="K141" s="17">
        <f t="shared" si="320"/>
        <v>0</v>
      </c>
      <c r="L141" s="18"/>
      <c r="M141" s="17">
        <f t="shared" si="321"/>
        <v>0</v>
      </c>
      <c r="N141" s="19"/>
      <c r="O141" s="17">
        <f t="shared" si="322"/>
        <v>0</v>
      </c>
      <c r="P141" s="17">
        <f t="shared" si="323"/>
        <v>0</v>
      </c>
      <c r="Q141" s="18" t="str">
        <f t="shared" si="324"/>
        <v>-</v>
      </c>
      <c r="R141" s="10"/>
      <c r="S141" s="20"/>
      <c r="T141" s="16"/>
      <c r="U141" s="13" t="s">
        <v>35</v>
      </c>
      <c r="V141" s="17" t="str">
        <f t="shared" si="325"/>
        <v>-</v>
      </c>
      <c r="W141" s="17" t="str">
        <f t="shared" si="326"/>
        <v>-</v>
      </c>
      <c r="X141" s="16"/>
      <c r="Y141" s="18" t="str">
        <f t="shared" si="327"/>
        <v>-</v>
      </c>
      <c r="Z141" s="10"/>
      <c r="AA141" s="19"/>
      <c r="AB141" s="13">
        <f t="shared" si="328"/>
        <v>0</v>
      </c>
      <c r="AC141" s="17" t="str">
        <f t="shared" si="329"/>
        <v>-</v>
      </c>
      <c r="AD141" s="10"/>
      <c r="AE141" s="19"/>
      <c r="AF141" s="13">
        <f t="shared" si="330"/>
        <v>0</v>
      </c>
      <c r="AG141" s="17" t="str">
        <f t="shared" si="331"/>
        <v>-</v>
      </c>
      <c r="AH141" s="10"/>
      <c r="AI141" s="19"/>
      <c r="AJ141" s="13">
        <f t="shared" si="332"/>
        <v>0</v>
      </c>
      <c r="AK141" s="17" t="str">
        <f t="shared" si="333"/>
        <v>-</v>
      </c>
      <c r="AL141" s="10"/>
      <c r="AM141" s="18" t="str">
        <f t="shared" si="334"/>
        <v>-</v>
      </c>
      <c r="AN141" s="15"/>
      <c r="AO141" s="17">
        <f t="shared" si="336"/>
        <v>0</v>
      </c>
      <c r="AP141" s="10"/>
    </row>
    <row r="142" spans="1:42" ht="30.75" customHeight="1" x14ac:dyDescent="0.3">
      <c r="A142" s="10"/>
      <c r="B142" s="11"/>
      <c r="C142" s="12"/>
      <c r="D142" s="12"/>
      <c r="E142" s="10"/>
      <c r="F142" s="13" t="s">
        <v>80</v>
      </c>
      <c r="G142" s="14" t="s">
        <v>33</v>
      </c>
      <c r="H142" s="15"/>
      <c r="I142" s="16">
        <f t="shared" si="335"/>
        <v>0</v>
      </c>
      <c r="J142" s="10"/>
      <c r="K142" s="17">
        <f t="shared" si="320"/>
        <v>0</v>
      </c>
      <c r="L142" s="18"/>
      <c r="M142" s="17">
        <f t="shared" si="321"/>
        <v>0</v>
      </c>
      <c r="N142" s="19"/>
      <c r="O142" s="17">
        <f t="shared" si="322"/>
        <v>0</v>
      </c>
      <c r="P142" s="17">
        <f t="shared" si="323"/>
        <v>0</v>
      </c>
      <c r="Q142" s="18" t="str">
        <f t="shared" si="324"/>
        <v>-</v>
      </c>
      <c r="R142" s="10"/>
      <c r="S142" s="20"/>
      <c r="T142" s="16"/>
      <c r="U142" s="13" t="s">
        <v>35</v>
      </c>
      <c r="V142" s="17" t="str">
        <f t="shared" si="325"/>
        <v>-</v>
      </c>
      <c r="W142" s="17" t="str">
        <f t="shared" si="326"/>
        <v>-</v>
      </c>
      <c r="X142" s="16"/>
      <c r="Y142" s="18" t="str">
        <f t="shared" si="327"/>
        <v>-</v>
      </c>
      <c r="Z142" s="10"/>
      <c r="AA142" s="19"/>
      <c r="AB142" s="13">
        <f t="shared" si="328"/>
        <v>0</v>
      </c>
      <c r="AC142" s="17" t="str">
        <f t="shared" si="329"/>
        <v>-</v>
      </c>
      <c r="AD142" s="10"/>
      <c r="AE142" s="19"/>
      <c r="AF142" s="13">
        <f t="shared" si="330"/>
        <v>0</v>
      </c>
      <c r="AG142" s="17" t="str">
        <f t="shared" si="331"/>
        <v>-</v>
      </c>
      <c r="AH142" s="10"/>
      <c r="AI142" s="19"/>
      <c r="AJ142" s="13">
        <f t="shared" si="332"/>
        <v>0</v>
      </c>
      <c r="AK142" s="17" t="str">
        <f t="shared" si="333"/>
        <v>-</v>
      </c>
      <c r="AL142" s="10"/>
      <c r="AM142" s="18" t="str">
        <f t="shared" si="334"/>
        <v>-</v>
      </c>
      <c r="AN142" s="15"/>
      <c r="AO142" s="17">
        <f t="shared" si="336"/>
        <v>0</v>
      </c>
      <c r="AP142" s="10"/>
    </row>
    <row r="143" spans="1:42" ht="17.25" customHeight="1" x14ac:dyDescent="0.3">
      <c r="A143" s="22"/>
      <c r="B143" s="6" t="s">
        <v>34</v>
      </c>
      <c r="C143" s="9" t="s">
        <v>35</v>
      </c>
      <c r="D143" s="9" t="s">
        <v>35</v>
      </c>
      <c r="E143" s="22"/>
      <c r="F143" s="9" t="s">
        <v>35</v>
      </c>
      <c r="G143" s="6" t="s">
        <v>35</v>
      </c>
      <c r="H143" s="5" t="str">
        <f>IFERROR(K143/I143,"-")</f>
        <v>-</v>
      </c>
      <c r="I143" s="25">
        <f>IFERROR(SUM(I133:I142),"-")</f>
        <v>0</v>
      </c>
      <c r="J143" s="22"/>
      <c r="K143" s="23">
        <f>IFERROR(SUM(K133:K142),"-")</f>
        <v>0</v>
      </c>
      <c r="L143" s="6" t="s">
        <v>35</v>
      </c>
      <c r="M143" s="23">
        <f>IFERROR(SUM(M133:M142),"-")</f>
        <v>0</v>
      </c>
      <c r="N143" s="9" t="s">
        <v>35</v>
      </c>
      <c r="O143" s="23">
        <f>IFERROR(SUM(O133:O142),"-")</f>
        <v>0</v>
      </c>
      <c r="P143" s="23">
        <f t="shared" si="323"/>
        <v>0</v>
      </c>
      <c r="Q143" s="24">
        <v>0</v>
      </c>
      <c r="R143" s="22"/>
      <c r="S143" s="25">
        <f>IFERROR(SUM(S133:S142),"-")</f>
        <v>0</v>
      </c>
      <c r="T143" s="25" t="s">
        <v>35</v>
      </c>
      <c r="U143" s="25" t="s">
        <v>35</v>
      </c>
      <c r="V143" s="23" t="str">
        <f t="shared" si="325"/>
        <v>-</v>
      </c>
      <c r="W143" s="23" t="str">
        <f t="shared" si="326"/>
        <v>-</v>
      </c>
      <c r="X143" s="6" t="s">
        <v>35</v>
      </c>
      <c r="Y143" s="6" t="s">
        <v>35</v>
      </c>
      <c r="Z143" s="22"/>
      <c r="AA143" s="24" t="str">
        <f>IFERROR(AB143/S143,"-")</f>
        <v>-</v>
      </c>
      <c r="AB143" s="25">
        <f>IFERROR(SUM(AB133:AB142),"-")</f>
        <v>0</v>
      </c>
      <c r="AC143" s="23" t="str">
        <f t="shared" si="329"/>
        <v>-</v>
      </c>
      <c r="AD143" s="22"/>
      <c r="AE143" s="24" t="str">
        <f>IFERROR(AF143/AB143,"-")</f>
        <v>-</v>
      </c>
      <c r="AF143" s="25">
        <f>IFERROR(SUM(AF133:AF142),"-")</f>
        <v>0</v>
      </c>
      <c r="AG143" s="23" t="str">
        <f t="shared" si="331"/>
        <v>-</v>
      </c>
      <c r="AH143" s="22"/>
      <c r="AI143" s="24" t="str">
        <f>IFERROR(AJ143/AB143,"-")</f>
        <v>-</v>
      </c>
      <c r="AJ143" s="25">
        <v>0</v>
      </c>
      <c r="AK143" s="23" t="str">
        <f>IFERROR(L143/AJ143,"-")</f>
        <v>-</v>
      </c>
      <c r="AL143" s="22"/>
      <c r="AM143" s="24" t="str">
        <f t="shared" si="334"/>
        <v>-</v>
      </c>
      <c r="AN143" s="23" t="str">
        <f>IFERROR(AO143/AF143,"-")</f>
        <v>-</v>
      </c>
      <c r="AO143" s="23">
        <f>IFERROR(SUM(AO133:AO142),"-")</f>
        <v>0</v>
      </c>
      <c r="AP143" s="22"/>
    </row>
    <row r="144" spans="1:42" ht="15.75" customHeight="1" x14ac:dyDescent="0.3">
      <c r="A144" s="33"/>
      <c r="B144" s="34"/>
      <c r="C144" s="34"/>
      <c r="D144" s="34"/>
      <c r="E144" s="33"/>
      <c r="F144" s="34"/>
      <c r="G144" s="34"/>
      <c r="H144" s="34"/>
      <c r="I144" s="34"/>
      <c r="J144" s="33"/>
      <c r="K144" s="34"/>
      <c r="L144" s="34"/>
      <c r="M144" s="34"/>
      <c r="N144" s="34"/>
      <c r="O144" s="34"/>
      <c r="P144" s="34"/>
      <c r="Q144" s="34"/>
      <c r="R144" s="33"/>
      <c r="S144" s="34"/>
      <c r="T144" s="34"/>
      <c r="U144" s="34"/>
      <c r="V144" s="34"/>
      <c r="W144" s="34"/>
      <c r="X144" s="34"/>
      <c r="Y144" s="34"/>
      <c r="Z144" s="33"/>
      <c r="AA144" s="34"/>
      <c r="AB144" s="34"/>
      <c r="AC144" s="34"/>
      <c r="AD144" s="33"/>
      <c r="AE144" s="34"/>
      <c r="AF144" s="34"/>
      <c r="AG144" s="34"/>
      <c r="AH144" s="33"/>
      <c r="AI144" s="34"/>
      <c r="AJ144" s="34"/>
      <c r="AK144" s="34"/>
      <c r="AL144" s="33"/>
      <c r="AM144" s="34"/>
      <c r="AN144" s="34"/>
      <c r="AO144" s="34"/>
      <c r="AP144" s="33"/>
    </row>
    <row r="145" spans="1:42" ht="51.75" customHeight="1" x14ac:dyDescent="0.3">
      <c r="A145" s="1"/>
      <c r="B145" s="2" t="s">
        <v>0</v>
      </c>
      <c r="C145" s="2" t="s">
        <v>1</v>
      </c>
      <c r="D145" s="2" t="s">
        <v>2</v>
      </c>
      <c r="E145" s="1"/>
      <c r="F145" s="3" t="s">
        <v>3</v>
      </c>
      <c r="G145" s="2" t="s">
        <v>66</v>
      </c>
      <c r="H145" s="2" t="s">
        <v>67</v>
      </c>
      <c r="I145" s="2" t="s">
        <v>68</v>
      </c>
      <c r="J145" s="1"/>
      <c r="K145" s="4" t="s">
        <v>7</v>
      </c>
      <c r="L145" s="3" t="s">
        <v>8</v>
      </c>
      <c r="M145" s="4" t="s">
        <v>9</v>
      </c>
      <c r="N145" s="3" t="s">
        <v>10</v>
      </c>
      <c r="O145" s="5" t="s">
        <v>11</v>
      </c>
      <c r="P145" s="5" t="s">
        <v>12</v>
      </c>
      <c r="Q145" s="4" t="s">
        <v>13</v>
      </c>
      <c r="R145" s="1"/>
      <c r="S145" s="2" t="s">
        <v>14</v>
      </c>
      <c r="T145" s="2" t="s">
        <v>15</v>
      </c>
      <c r="U145" s="2" t="s">
        <v>16</v>
      </c>
      <c r="V145" s="2" t="s">
        <v>17</v>
      </c>
      <c r="W145" s="2" t="s">
        <v>18</v>
      </c>
      <c r="X145" s="2" t="s">
        <v>19</v>
      </c>
      <c r="Y145" s="2" t="s">
        <v>20</v>
      </c>
      <c r="Z145" s="1"/>
      <c r="AA145" s="6" t="s">
        <v>21</v>
      </c>
      <c r="AB145" s="7" t="s">
        <v>22</v>
      </c>
      <c r="AC145" s="7" t="s">
        <v>23</v>
      </c>
      <c r="AD145" s="1"/>
      <c r="AE145" s="6" t="s">
        <v>24</v>
      </c>
      <c r="AF145" s="8" t="s">
        <v>25</v>
      </c>
      <c r="AG145" s="8" t="s">
        <v>26</v>
      </c>
      <c r="AH145" s="1"/>
      <c r="AI145" s="9" t="s">
        <v>27</v>
      </c>
      <c r="AJ145" s="8" t="s">
        <v>28</v>
      </c>
      <c r="AK145" s="8" t="s">
        <v>56</v>
      </c>
      <c r="AL145" s="1"/>
      <c r="AM145" s="9" t="s">
        <v>30</v>
      </c>
      <c r="AN145" s="8" t="s">
        <v>31</v>
      </c>
      <c r="AO145" s="8" t="s">
        <v>32</v>
      </c>
      <c r="AP145" s="1"/>
    </row>
    <row r="146" spans="1:42" ht="30.75" customHeight="1" x14ac:dyDescent="0.3">
      <c r="A146" s="10"/>
      <c r="B146" s="11"/>
      <c r="C146" s="12"/>
      <c r="D146" s="12"/>
      <c r="E146" s="10"/>
      <c r="F146" s="13" t="s">
        <v>81</v>
      </c>
      <c r="G146" s="14" t="s">
        <v>33</v>
      </c>
      <c r="H146" s="15"/>
      <c r="I146" s="16">
        <f>IFERROR(S146*AA146,"-")</f>
        <v>0</v>
      </c>
      <c r="J146" s="10"/>
      <c r="K146" s="17">
        <f t="shared" ref="K146:K155" si="352">IFERROR((H146*I146),"-")</f>
        <v>0</v>
      </c>
      <c r="L146" s="18"/>
      <c r="M146" s="17">
        <f t="shared" ref="M146:M155" si="353">IFERROR(K146*(1-L146),"-")</f>
        <v>0</v>
      </c>
      <c r="N146" s="19"/>
      <c r="O146" s="17">
        <f t="shared" ref="O146:O155" si="354">IFERROR(M146*(1+N146),"-")</f>
        <v>0</v>
      </c>
      <c r="P146" s="17">
        <f t="shared" ref="P146:P156" si="355">IFERROR(O146*1.22,"-")</f>
        <v>0</v>
      </c>
      <c r="Q146" s="18" t="str">
        <f t="shared" ref="Q146:Q155" si="356">IFERROR(P146/$P$13,"-")</f>
        <v>-</v>
      </c>
      <c r="R146" s="10"/>
      <c r="S146" s="20"/>
      <c r="T146" s="16"/>
      <c r="U146" s="13" t="s">
        <v>35</v>
      </c>
      <c r="V146" s="17" t="str">
        <f t="shared" ref="V146:V156" si="357">IFERROR(P146/S146*1000,"-")</f>
        <v>-</v>
      </c>
      <c r="W146" s="17" t="str">
        <f t="shared" ref="W146:W156" si="358">IFERROR(P146/U146*1000,"-")</f>
        <v>-</v>
      </c>
      <c r="X146" s="16"/>
      <c r="Y146" s="18" t="str">
        <f t="shared" ref="Y146:Y155" si="359">IFERROR(U146/X146,"-")</f>
        <v>-</v>
      </c>
      <c r="Z146" s="10"/>
      <c r="AA146" s="19"/>
      <c r="AB146" s="13">
        <f t="shared" ref="AB146:AB155" si="360">IFERROR(ROUNDDOWN(S146*AA146,0),"-")</f>
        <v>0</v>
      </c>
      <c r="AC146" s="17" t="str">
        <f t="shared" ref="AC146:AC156" si="361">IFERROR(P146/AB146,"-")</f>
        <v>-</v>
      </c>
      <c r="AD146" s="10"/>
      <c r="AE146" s="19"/>
      <c r="AF146" s="13">
        <f t="shared" ref="AF146:AF155" si="362">IF(G146="CPI",AJ146*AE146,IFERROR(ROUNDDOWN(AB146*AE146,0),"-"))</f>
        <v>0</v>
      </c>
      <c r="AG146" s="17" t="str">
        <f t="shared" ref="AG146:AG156" si="363">IFERROR(P146/AF146,"-")</f>
        <v>-</v>
      </c>
      <c r="AH146" s="10"/>
      <c r="AI146" s="19"/>
      <c r="AJ146" s="13">
        <f t="shared" ref="AJ146:AJ155" si="364">IF(G146="CPI",I146,0)</f>
        <v>0</v>
      </c>
      <c r="AK146" s="17" t="str">
        <f t="shared" ref="AK146:AK155" si="365">IFERROR(P146/AJ146,"-")</f>
        <v>-</v>
      </c>
      <c r="AL146" s="10"/>
      <c r="AM146" s="18" t="str">
        <f t="shared" ref="AM146:AM156" si="366">IFERROR(P146/AO146,"-")</f>
        <v>-</v>
      </c>
      <c r="AN146" s="15"/>
      <c r="AO146" s="17">
        <f>AN146*AF146</f>
        <v>0</v>
      </c>
      <c r="AP146" s="10"/>
    </row>
    <row r="147" spans="1:42" ht="30.75" customHeight="1" x14ac:dyDescent="0.3">
      <c r="A147" s="10"/>
      <c r="B147" s="11"/>
      <c r="C147" s="12"/>
      <c r="D147" s="12"/>
      <c r="E147" s="10"/>
      <c r="F147" s="13" t="s">
        <v>81</v>
      </c>
      <c r="G147" s="14" t="s">
        <v>33</v>
      </c>
      <c r="H147" s="15"/>
      <c r="I147" s="16">
        <f t="shared" ref="I147:I155" si="367">IFERROR(S147*AA147,"-")</f>
        <v>0</v>
      </c>
      <c r="J147" s="10"/>
      <c r="K147" s="17">
        <f t="shared" si="352"/>
        <v>0</v>
      </c>
      <c r="L147" s="18"/>
      <c r="M147" s="17">
        <f t="shared" si="353"/>
        <v>0</v>
      </c>
      <c r="N147" s="19"/>
      <c r="O147" s="17">
        <f t="shared" si="354"/>
        <v>0</v>
      </c>
      <c r="P147" s="17">
        <f t="shared" si="355"/>
        <v>0</v>
      </c>
      <c r="Q147" s="18" t="str">
        <f t="shared" si="356"/>
        <v>-</v>
      </c>
      <c r="R147" s="10"/>
      <c r="S147" s="20"/>
      <c r="T147" s="16"/>
      <c r="U147" s="13" t="s">
        <v>35</v>
      </c>
      <c r="V147" s="17" t="str">
        <f t="shared" si="357"/>
        <v>-</v>
      </c>
      <c r="W147" s="17" t="str">
        <f t="shared" si="358"/>
        <v>-</v>
      </c>
      <c r="X147" s="16"/>
      <c r="Y147" s="18" t="str">
        <f t="shared" si="359"/>
        <v>-</v>
      </c>
      <c r="Z147" s="10"/>
      <c r="AA147" s="19"/>
      <c r="AB147" s="13">
        <f t="shared" si="360"/>
        <v>0</v>
      </c>
      <c r="AC147" s="17" t="str">
        <f t="shared" si="361"/>
        <v>-</v>
      </c>
      <c r="AD147" s="10"/>
      <c r="AE147" s="19"/>
      <c r="AF147" s="13">
        <f t="shared" si="362"/>
        <v>0</v>
      </c>
      <c r="AG147" s="17" t="str">
        <f t="shared" si="363"/>
        <v>-</v>
      </c>
      <c r="AH147" s="10"/>
      <c r="AI147" s="19"/>
      <c r="AJ147" s="13">
        <f t="shared" si="364"/>
        <v>0</v>
      </c>
      <c r="AK147" s="17" t="str">
        <f t="shared" si="365"/>
        <v>-</v>
      </c>
      <c r="AL147" s="10"/>
      <c r="AM147" s="18" t="str">
        <f t="shared" si="366"/>
        <v>-</v>
      </c>
      <c r="AN147" s="15"/>
      <c r="AO147" s="17">
        <f t="shared" ref="AO147:AO155" si="368">AN147*AF147</f>
        <v>0</v>
      </c>
      <c r="AP147" s="10"/>
    </row>
    <row r="148" spans="1:42" ht="30.75" customHeight="1" x14ac:dyDescent="0.3">
      <c r="A148" s="10"/>
      <c r="B148" s="11"/>
      <c r="C148" s="12"/>
      <c r="D148" s="12"/>
      <c r="E148" s="10"/>
      <c r="F148" s="13" t="s">
        <v>81</v>
      </c>
      <c r="G148" s="14" t="s">
        <v>33</v>
      </c>
      <c r="H148" s="15"/>
      <c r="I148" s="16">
        <f t="shared" ref="I148:I152" si="369">IFERROR(S148*AA148,"-")</f>
        <v>0</v>
      </c>
      <c r="J148" s="10"/>
      <c r="K148" s="17">
        <f t="shared" ref="K148:K152" si="370">IFERROR((H148*I148),"-")</f>
        <v>0</v>
      </c>
      <c r="L148" s="18"/>
      <c r="M148" s="17">
        <f t="shared" ref="M148:M152" si="371">IFERROR(K148*(1-L148),"-")</f>
        <v>0</v>
      </c>
      <c r="N148" s="19"/>
      <c r="O148" s="17">
        <f t="shared" ref="O148:O152" si="372">IFERROR(M148*(1+N148),"-")</f>
        <v>0</v>
      </c>
      <c r="P148" s="17">
        <f t="shared" si="355"/>
        <v>0</v>
      </c>
      <c r="Q148" s="18" t="str">
        <f t="shared" ref="Q148:Q152" si="373">IFERROR(P148/$P$13,"-")</f>
        <v>-</v>
      </c>
      <c r="R148" s="10"/>
      <c r="S148" s="20"/>
      <c r="T148" s="16"/>
      <c r="U148" s="13" t="s">
        <v>35</v>
      </c>
      <c r="V148" s="17" t="str">
        <f t="shared" ref="V148:V152" si="374">IFERROR(P148/S148*1000,"-")</f>
        <v>-</v>
      </c>
      <c r="W148" s="17" t="str">
        <f t="shared" ref="W148:W152" si="375">IFERROR(P148/U148*1000,"-")</f>
        <v>-</v>
      </c>
      <c r="X148" s="16"/>
      <c r="Y148" s="18" t="str">
        <f t="shared" ref="Y148:Y152" si="376">IFERROR(U148/X148,"-")</f>
        <v>-</v>
      </c>
      <c r="Z148" s="10"/>
      <c r="AA148" s="19"/>
      <c r="AB148" s="13">
        <f t="shared" ref="AB148:AB152" si="377">IFERROR(ROUNDDOWN(S148*AA148,0),"-")</f>
        <v>0</v>
      </c>
      <c r="AC148" s="17" t="str">
        <f t="shared" ref="AC148:AC152" si="378">IFERROR(P148/AB148,"-")</f>
        <v>-</v>
      </c>
      <c r="AD148" s="10"/>
      <c r="AE148" s="19"/>
      <c r="AF148" s="13">
        <f t="shared" ref="AF148:AF152" si="379">IF(G148="CPI",AJ148*AE148,IFERROR(ROUNDDOWN(AB148*AE148,0),"-"))</f>
        <v>0</v>
      </c>
      <c r="AG148" s="17" t="str">
        <f t="shared" ref="AG148:AG152" si="380">IFERROR(P148/AF148,"-")</f>
        <v>-</v>
      </c>
      <c r="AH148" s="10"/>
      <c r="AI148" s="19"/>
      <c r="AJ148" s="13">
        <f t="shared" ref="AJ148:AJ152" si="381">IF(G148="CPI",I148,0)</f>
        <v>0</v>
      </c>
      <c r="AK148" s="17" t="str">
        <f t="shared" ref="AK148:AK152" si="382">IFERROR(P148/AJ148,"-")</f>
        <v>-</v>
      </c>
      <c r="AL148" s="10"/>
      <c r="AM148" s="18" t="str">
        <f t="shared" ref="AM148:AM152" si="383">IFERROR(P148/AO148,"-")</f>
        <v>-</v>
      </c>
      <c r="AN148" s="15"/>
      <c r="AO148" s="17">
        <f t="shared" si="368"/>
        <v>0</v>
      </c>
      <c r="AP148" s="10"/>
    </row>
    <row r="149" spans="1:42" ht="30.75" customHeight="1" x14ac:dyDescent="0.3">
      <c r="A149" s="10"/>
      <c r="B149" s="11"/>
      <c r="C149" s="12"/>
      <c r="D149" s="12"/>
      <c r="E149" s="10"/>
      <c r="F149" s="13" t="s">
        <v>81</v>
      </c>
      <c r="G149" s="14" t="s">
        <v>33</v>
      </c>
      <c r="H149" s="15"/>
      <c r="I149" s="16">
        <f t="shared" si="369"/>
        <v>0</v>
      </c>
      <c r="J149" s="10"/>
      <c r="K149" s="17">
        <f t="shared" si="370"/>
        <v>0</v>
      </c>
      <c r="L149" s="18"/>
      <c r="M149" s="17">
        <f t="shared" si="371"/>
        <v>0</v>
      </c>
      <c r="N149" s="19"/>
      <c r="O149" s="17">
        <f t="shared" si="372"/>
        <v>0</v>
      </c>
      <c r="P149" s="17">
        <f t="shared" si="355"/>
        <v>0</v>
      </c>
      <c r="Q149" s="18" t="str">
        <f t="shared" si="373"/>
        <v>-</v>
      </c>
      <c r="R149" s="10"/>
      <c r="S149" s="20"/>
      <c r="T149" s="16"/>
      <c r="U149" s="13" t="s">
        <v>35</v>
      </c>
      <c r="V149" s="17" t="str">
        <f t="shared" si="374"/>
        <v>-</v>
      </c>
      <c r="W149" s="17" t="str">
        <f t="shared" si="375"/>
        <v>-</v>
      </c>
      <c r="X149" s="16"/>
      <c r="Y149" s="18" t="str">
        <f t="shared" si="376"/>
        <v>-</v>
      </c>
      <c r="Z149" s="10"/>
      <c r="AA149" s="19"/>
      <c r="AB149" s="13">
        <f t="shared" si="377"/>
        <v>0</v>
      </c>
      <c r="AC149" s="17" t="str">
        <f t="shared" si="378"/>
        <v>-</v>
      </c>
      <c r="AD149" s="10"/>
      <c r="AE149" s="19"/>
      <c r="AF149" s="13">
        <f t="shared" si="379"/>
        <v>0</v>
      </c>
      <c r="AG149" s="17" t="str">
        <f t="shared" si="380"/>
        <v>-</v>
      </c>
      <c r="AH149" s="10"/>
      <c r="AI149" s="19"/>
      <c r="AJ149" s="13">
        <f t="shared" si="381"/>
        <v>0</v>
      </c>
      <c r="AK149" s="17" t="str">
        <f t="shared" si="382"/>
        <v>-</v>
      </c>
      <c r="AL149" s="10"/>
      <c r="AM149" s="18" t="str">
        <f t="shared" si="383"/>
        <v>-</v>
      </c>
      <c r="AN149" s="15"/>
      <c r="AO149" s="17">
        <f t="shared" si="368"/>
        <v>0</v>
      </c>
      <c r="AP149" s="10"/>
    </row>
    <row r="150" spans="1:42" ht="30.75" customHeight="1" x14ac:dyDescent="0.3">
      <c r="A150" s="10"/>
      <c r="B150" s="11"/>
      <c r="C150" s="12"/>
      <c r="D150" s="12"/>
      <c r="E150" s="10"/>
      <c r="F150" s="13" t="s">
        <v>81</v>
      </c>
      <c r="G150" s="14" t="s">
        <v>33</v>
      </c>
      <c r="H150" s="15"/>
      <c r="I150" s="16">
        <f t="shared" si="369"/>
        <v>0</v>
      </c>
      <c r="J150" s="10"/>
      <c r="K150" s="17">
        <f t="shared" si="370"/>
        <v>0</v>
      </c>
      <c r="L150" s="18"/>
      <c r="M150" s="17">
        <f t="shared" si="371"/>
        <v>0</v>
      </c>
      <c r="N150" s="19"/>
      <c r="O150" s="17">
        <f t="shared" si="372"/>
        <v>0</v>
      </c>
      <c r="P150" s="17">
        <f t="shared" si="355"/>
        <v>0</v>
      </c>
      <c r="Q150" s="18" t="str">
        <f t="shared" si="373"/>
        <v>-</v>
      </c>
      <c r="R150" s="10"/>
      <c r="S150" s="20"/>
      <c r="T150" s="16"/>
      <c r="U150" s="13" t="s">
        <v>35</v>
      </c>
      <c r="V150" s="17" t="str">
        <f t="shared" si="374"/>
        <v>-</v>
      </c>
      <c r="W150" s="17" t="str">
        <f t="shared" si="375"/>
        <v>-</v>
      </c>
      <c r="X150" s="16"/>
      <c r="Y150" s="18" t="str">
        <f t="shared" si="376"/>
        <v>-</v>
      </c>
      <c r="Z150" s="10"/>
      <c r="AA150" s="19"/>
      <c r="AB150" s="13">
        <f t="shared" si="377"/>
        <v>0</v>
      </c>
      <c r="AC150" s="17" t="str">
        <f t="shared" si="378"/>
        <v>-</v>
      </c>
      <c r="AD150" s="10"/>
      <c r="AE150" s="19"/>
      <c r="AF150" s="13">
        <f t="shared" si="379"/>
        <v>0</v>
      </c>
      <c r="AG150" s="17" t="str">
        <f t="shared" si="380"/>
        <v>-</v>
      </c>
      <c r="AH150" s="10"/>
      <c r="AI150" s="19"/>
      <c r="AJ150" s="13">
        <f t="shared" si="381"/>
        <v>0</v>
      </c>
      <c r="AK150" s="17" t="str">
        <f t="shared" si="382"/>
        <v>-</v>
      </c>
      <c r="AL150" s="10"/>
      <c r="AM150" s="18" t="str">
        <f t="shared" si="383"/>
        <v>-</v>
      </c>
      <c r="AN150" s="15"/>
      <c r="AO150" s="17">
        <f t="shared" si="368"/>
        <v>0</v>
      </c>
      <c r="AP150" s="10"/>
    </row>
    <row r="151" spans="1:42" ht="30.75" customHeight="1" x14ac:dyDescent="0.3">
      <c r="A151" s="10"/>
      <c r="B151" s="11"/>
      <c r="C151" s="12"/>
      <c r="D151" s="12"/>
      <c r="E151" s="10"/>
      <c r="F151" s="13" t="s">
        <v>81</v>
      </c>
      <c r="G151" s="14" t="s">
        <v>33</v>
      </c>
      <c r="H151" s="15"/>
      <c r="I151" s="16">
        <f t="shared" si="369"/>
        <v>0</v>
      </c>
      <c r="J151" s="10"/>
      <c r="K151" s="17">
        <f t="shared" si="370"/>
        <v>0</v>
      </c>
      <c r="L151" s="18"/>
      <c r="M151" s="17">
        <f t="shared" si="371"/>
        <v>0</v>
      </c>
      <c r="N151" s="19"/>
      <c r="O151" s="17">
        <f t="shared" si="372"/>
        <v>0</v>
      </c>
      <c r="P151" s="17">
        <f t="shared" si="355"/>
        <v>0</v>
      </c>
      <c r="Q151" s="18" t="str">
        <f t="shared" si="373"/>
        <v>-</v>
      </c>
      <c r="R151" s="10"/>
      <c r="S151" s="20"/>
      <c r="T151" s="16"/>
      <c r="U151" s="13" t="s">
        <v>35</v>
      </c>
      <c r="V151" s="17" t="str">
        <f t="shared" si="374"/>
        <v>-</v>
      </c>
      <c r="W151" s="17" t="str">
        <f t="shared" si="375"/>
        <v>-</v>
      </c>
      <c r="X151" s="16"/>
      <c r="Y151" s="18" t="str">
        <f t="shared" si="376"/>
        <v>-</v>
      </c>
      <c r="Z151" s="10"/>
      <c r="AA151" s="19"/>
      <c r="AB151" s="13">
        <f t="shared" si="377"/>
        <v>0</v>
      </c>
      <c r="AC151" s="17" t="str">
        <f t="shared" si="378"/>
        <v>-</v>
      </c>
      <c r="AD151" s="10"/>
      <c r="AE151" s="19"/>
      <c r="AF151" s="13">
        <f t="shared" si="379"/>
        <v>0</v>
      </c>
      <c r="AG151" s="17" t="str">
        <f t="shared" si="380"/>
        <v>-</v>
      </c>
      <c r="AH151" s="10"/>
      <c r="AI151" s="19"/>
      <c r="AJ151" s="13">
        <f t="shared" si="381"/>
        <v>0</v>
      </c>
      <c r="AK151" s="17" t="str">
        <f t="shared" si="382"/>
        <v>-</v>
      </c>
      <c r="AL151" s="10"/>
      <c r="AM151" s="18" t="str">
        <f t="shared" si="383"/>
        <v>-</v>
      </c>
      <c r="AN151" s="15"/>
      <c r="AO151" s="17">
        <f t="shared" si="368"/>
        <v>0</v>
      </c>
      <c r="AP151" s="10"/>
    </row>
    <row r="152" spans="1:42" ht="30.75" customHeight="1" x14ac:dyDescent="0.3">
      <c r="A152" s="10"/>
      <c r="B152" s="11"/>
      <c r="C152" s="12"/>
      <c r="D152" s="12"/>
      <c r="E152" s="10"/>
      <c r="F152" s="13" t="s">
        <v>81</v>
      </c>
      <c r="G152" s="14" t="s">
        <v>33</v>
      </c>
      <c r="H152" s="15"/>
      <c r="I152" s="16">
        <f t="shared" si="369"/>
        <v>0</v>
      </c>
      <c r="J152" s="10"/>
      <c r="K152" s="17">
        <f t="shared" si="370"/>
        <v>0</v>
      </c>
      <c r="L152" s="18"/>
      <c r="M152" s="17">
        <f t="shared" si="371"/>
        <v>0</v>
      </c>
      <c r="N152" s="19"/>
      <c r="O152" s="17">
        <f t="shared" si="372"/>
        <v>0</v>
      </c>
      <c r="P152" s="17">
        <f t="shared" si="355"/>
        <v>0</v>
      </c>
      <c r="Q152" s="18" t="str">
        <f t="shared" si="373"/>
        <v>-</v>
      </c>
      <c r="R152" s="10"/>
      <c r="S152" s="20"/>
      <c r="T152" s="16"/>
      <c r="U152" s="13" t="s">
        <v>35</v>
      </c>
      <c r="V152" s="17" t="str">
        <f t="shared" si="374"/>
        <v>-</v>
      </c>
      <c r="W152" s="17" t="str">
        <f t="shared" si="375"/>
        <v>-</v>
      </c>
      <c r="X152" s="16"/>
      <c r="Y152" s="18" t="str">
        <f t="shared" si="376"/>
        <v>-</v>
      </c>
      <c r="Z152" s="10"/>
      <c r="AA152" s="19"/>
      <c r="AB152" s="13">
        <f t="shared" si="377"/>
        <v>0</v>
      </c>
      <c r="AC152" s="17" t="str">
        <f t="shared" si="378"/>
        <v>-</v>
      </c>
      <c r="AD152" s="10"/>
      <c r="AE152" s="19"/>
      <c r="AF152" s="13">
        <f t="shared" si="379"/>
        <v>0</v>
      </c>
      <c r="AG152" s="17" t="str">
        <f t="shared" si="380"/>
        <v>-</v>
      </c>
      <c r="AH152" s="10"/>
      <c r="AI152" s="19"/>
      <c r="AJ152" s="13">
        <f t="shared" si="381"/>
        <v>0</v>
      </c>
      <c r="AK152" s="17" t="str">
        <f t="shared" si="382"/>
        <v>-</v>
      </c>
      <c r="AL152" s="10"/>
      <c r="AM152" s="18" t="str">
        <f t="shared" si="383"/>
        <v>-</v>
      </c>
      <c r="AN152" s="15"/>
      <c r="AO152" s="17">
        <f t="shared" si="368"/>
        <v>0</v>
      </c>
      <c r="AP152" s="10"/>
    </row>
    <row r="153" spans="1:42" ht="30.75" customHeight="1" x14ac:dyDescent="0.3">
      <c r="A153" s="10"/>
      <c r="B153" s="11"/>
      <c r="C153" s="12"/>
      <c r="D153" s="12"/>
      <c r="E153" s="10"/>
      <c r="F153" s="13" t="s">
        <v>81</v>
      </c>
      <c r="G153" s="14" t="s">
        <v>33</v>
      </c>
      <c r="H153" s="15"/>
      <c r="I153" s="16">
        <f t="shared" si="367"/>
        <v>0</v>
      </c>
      <c r="J153" s="10"/>
      <c r="K153" s="17">
        <f t="shared" si="352"/>
        <v>0</v>
      </c>
      <c r="L153" s="18"/>
      <c r="M153" s="17">
        <f t="shared" si="353"/>
        <v>0</v>
      </c>
      <c r="N153" s="19"/>
      <c r="O153" s="17">
        <f t="shared" si="354"/>
        <v>0</v>
      </c>
      <c r="P153" s="17">
        <f t="shared" si="355"/>
        <v>0</v>
      </c>
      <c r="Q153" s="18" t="str">
        <f t="shared" si="356"/>
        <v>-</v>
      </c>
      <c r="R153" s="10"/>
      <c r="S153" s="20"/>
      <c r="T153" s="16"/>
      <c r="U153" s="13" t="s">
        <v>35</v>
      </c>
      <c r="V153" s="17" t="str">
        <f t="shared" si="357"/>
        <v>-</v>
      </c>
      <c r="W153" s="17" t="str">
        <f t="shared" si="358"/>
        <v>-</v>
      </c>
      <c r="X153" s="16"/>
      <c r="Y153" s="18" t="str">
        <f t="shared" si="359"/>
        <v>-</v>
      </c>
      <c r="Z153" s="10"/>
      <c r="AA153" s="19"/>
      <c r="AB153" s="13">
        <f t="shared" si="360"/>
        <v>0</v>
      </c>
      <c r="AC153" s="17" t="str">
        <f t="shared" si="361"/>
        <v>-</v>
      </c>
      <c r="AD153" s="10"/>
      <c r="AE153" s="19"/>
      <c r="AF153" s="13">
        <f t="shared" si="362"/>
        <v>0</v>
      </c>
      <c r="AG153" s="17" t="str">
        <f t="shared" si="363"/>
        <v>-</v>
      </c>
      <c r="AH153" s="10"/>
      <c r="AI153" s="19"/>
      <c r="AJ153" s="13">
        <f t="shared" si="364"/>
        <v>0</v>
      </c>
      <c r="AK153" s="17" t="str">
        <f t="shared" si="365"/>
        <v>-</v>
      </c>
      <c r="AL153" s="10"/>
      <c r="AM153" s="18" t="str">
        <f t="shared" si="366"/>
        <v>-</v>
      </c>
      <c r="AN153" s="15"/>
      <c r="AO153" s="17">
        <f t="shared" si="368"/>
        <v>0</v>
      </c>
      <c r="AP153" s="10"/>
    </row>
    <row r="154" spans="1:42" ht="30.75" customHeight="1" x14ac:dyDescent="0.3">
      <c r="A154" s="10"/>
      <c r="B154" s="11"/>
      <c r="C154" s="12"/>
      <c r="D154" s="12"/>
      <c r="E154" s="10"/>
      <c r="F154" s="13" t="s">
        <v>81</v>
      </c>
      <c r="G154" s="14" t="s">
        <v>33</v>
      </c>
      <c r="H154" s="15"/>
      <c r="I154" s="16">
        <f t="shared" si="367"/>
        <v>0</v>
      </c>
      <c r="J154" s="10"/>
      <c r="K154" s="17">
        <f t="shared" si="352"/>
        <v>0</v>
      </c>
      <c r="L154" s="18"/>
      <c r="M154" s="17">
        <f t="shared" si="353"/>
        <v>0</v>
      </c>
      <c r="N154" s="19"/>
      <c r="O154" s="17">
        <f t="shared" si="354"/>
        <v>0</v>
      </c>
      <c r="P154" s="17">
        <f t="shared" si="355"/>
        <v>0</v>
      </c>
      <c r="Q154" s="18" t="str">
        <f t="shared" si="356"/>
        <v>-</v>
      </c>
      <c r="R154" s="10"/>
      <c r="S154" s="20"/>
      <c r="T154" s="16"/>
      <c r="U154" s="13" t="s">
        <v>35</v>
      </c>
      <c r="V154" s="17" t="str">
        <f t="shared" si="357"/>
        <v>-</v>
      </c>
      <c r="W154" s="17" t="str">
        <f t="shared" si="358"/>
        <v>-</v>
      </c>
      <c r="X154" s="16"/>
      <c r="Y154" s="18" t="str">
        <f t="shared" si="359"/>
        <v>-</v>
      </c>
      <c r="Z154" s="10"/>
      <c r="AA154" s="19"/>
      <c r="AB154" s="13">
        <f t="shared" si="360"/>
        <v>0</v>
      </c>
      <c r="AC154" s="17" t="str">
        <f t="shared" si="361"/>
        <v>-</v>
      </c>
      <c r="AD154" s="10"/>
      <c r="AE154" s="19"/>
      <c r="AF154" s="13">
        <f t="shared" si="362"/>
        <v>0</v>
      </c>
      <c r="AG154" s="17" t="str">
        <f t="shared" si="363"/>
        <v>-</v>
      </c>
      <c r="AH154" s="10"/>
      <c r="AI154" s="19"/>
      <c r="AJ154" s="13">
        <f t="shared" si="364"/>
        <v>0</v>
      </c>
      <c r="AK154" s="17" t="str">
        <f t="shared" si="365"/>
        <v>-</v>
      </c>
      <c r="AL154" s="10"/>
      <c r="AM154" s="18" t="str">
        <f t="shared" si="366"/>
        <v>-</v>
      </c>
      <c r="AN154" s="15"/>
      <c r="AO154" s="17">
        <f t="shared" si="368"/>
        <v>0</v>
      </c>
      <c r="AP154" s="10"/>
    </row>
    <row r="155" spans="1:42" ht="30.75" customHeight="1" x14ac:dyDescent="0.3">
      <c r="A155" s="10"/>
      <c r="B155" s="11"/>
      <c r="C155" s="12"/>
      <c r="D155" s="12"/>
      <c r="E155" s="10"/>
      <c r="F155" s="13" t="s">
        <v>81</v>
      </c>
      <c r="G155" s="14" t="s">
        <v>33</v>
      </c>
      <c r="H155" s="15"/>
      <c r="I155" s="16">
        <f t="shared" si="367"/>
        <v>0</v>
      </c>
      <c r="J155" s="10"/>
      <c r="K155" s="17">
        <f t="shared" si="352"/>
        <v>0</v>
      </c>
      <c r="L155" s="18"/>
      <c r="M155" s="17">
        <f t="shared" si="353"/>
        <v>0</v>
      </c>
      <c r="N155" s="19"/>
      <c r="O155" s="17">
        <f t="shared" si="354"/>
        <v>0</v>
      </c>
      <c r="P155" s="17">
        <f t="shared" si="355"/>
        <v>0</v>
      </c>
      <c r="Q155" s="18" t="str">
        <f t="shared" si="356"/>
        <v>-</v>
      </c>
      <c r="R155" s="10"/>
      <c r="S155" s="20"/>
      <c r="T155" s="16"/>
      <c r="U155" s="13" t="s">
        <v>35</v>
      </c>
      <c r="V155" s="17" t="str">
        <f t="shared" si="357"/>
        <v>-</v>
      </c>
      <c r="W155" s="17" t="str">
        <f t="shared" si="358"/>
        <v>-</v>
      </c>
      <c r="X155" s="16"/>
      <c r="Y155" s="18" t="str">
        <f t="shared" si="359"/>
        <v>-</v>
      </c>
      <c r="Z155" s="10"/>
      <c r="AA155" s="19"/>
      <c r="AB155" s="13">
        <f t="shared" si="360"/>
        <v>0</v>
      </c>
      <c r="AC155" s="17" t="str">
        <f t="shared" si="361"/>
        <v>-</v>
      </c>
      <c r="AD155" s="10"/>
      <c r="AE155" s="19"/>
      <c r="AF155" s="13">
        <f t="shared" si="362"/>
        <v>0</v>
      </c>
      <c r="AG155" s="17" t="str">
        <f t="shared" si="363"/>
        <v>-</v>
      </c>
      <c r="AH155" s="10"/>
      <c r="AI155" s="19"/>
      <c r="AJ155" s="13">
        <f t="shared" si="364"/>
        <v>0</v>
      </c>
      <c r="AK155" s="17" t="str">
        <f t="shared" si="365"/>
        <v>-</v>
      </c>
      <c r="AL155" s="10"/>
      <c r="AM155" s="18" t="str">
        <f t="shared" si="366"/>
        <v>-</v>
      </c>
      <c r="AN155" s="15"/>
      <c r="AO155" s="17">
        <f t="shared" si="368"/>
        <v>0</v>
      </c>
      <c r="AP155" s="10"/>
    </row>
    <row r="156" spans="1:42" ht="17.25" customHeight="1" x14ac:dyDescent="0.3">
      <c r="A156" s="22"/>
      <c r="B156" s="6" t="s">
        <v>34</v>
      </c>
      <c r="C156" s="9" t="s">
        <v>35</v>
      </c>
      <c r="D156" s="9" t="s">
        <v>35</v>
      </c>
      <c r="E156" s="22"/>
      <c r="F156" s="9" t="s">
        <v>35</v>
      </c>
      <c r="G156" s="6" t="s">
        <v>35</v>
      </c>
      <c r="H156" s="5" t="str">
        <f>IFERROR(K156/I156,"-")</f>
        <v>-</v>
      </c>
      <c r="I156" s="25">
        <f>IFERROR(SUM(I146:I155),"-")</f>
        <v>0</v>
      </c>
      <c r="J156" s="22"/>
      <c r="K156" s="23">
        <f>IFERROR(SUM(K146:K155),"-")</f>
        <v>0</v>
      </c>
      <c r="L156" s="6" t="s">
        <v>35</v>
      </c>
      <c r="M156" s="23">
        <f>IFERROR(SUM(M146:M155),"-")</f>
        <v>0</v>
      </c>
      <c r="N156" s="9" t="s">
        <v>35</v>
      </c>
      <c r="O156" s="23">
        <f>IFERROR(SUM(O146:O155),"-")</f>
        <v>0</v>
      </c>
      <c r="P156" s="23">
        <f t="shared" si="355"/>
        <v>0</v>
      </c>
      <c r="Q156" s="24">
        <v>0</v>
      </c>
      <c r="R156" s="22"/>
      <c r="S156" s="25">
        <f>IFERROR(SUM(S146:S155),"-")</f>
        <v>0</v>
      </c>
      <c r="T156" s="25" t="s">
        <v>35</v>
      </c>
      <c r="U156" s="25" t="s">
        <v>35</v>
      </c>
      <c r="V156" s="23" t="str">
        <f t="shared" si="357"/>
        <v>-</v>
      </c>
      <c r="W156" s="23" t="str">
        <f t="shared" si="358"/>
        <v>-</v>
      </c>
      <c r="X156" s="6" t="s">
        <v>35</v>
      </c>
      <c r="Y156" s="6" t="s">
        <v>35</v>
      </c>
      <c r="Z156" s="22"/>
      <c r="AA156" s="24" t="str">
        <f>IFERROR(AB156/S156,"-")</f>
        <v>-</v>
      </c>
      <c r="AB156" s="25">
        <f>IFERROR(SUM(AB146:AB155),"-")</f>
        <v>0</v>
      </c>
      <c r="AC156" s="23" t="str">
        <f t="shared" si="361"/>
        <v>-</v>
      </c>
      <c r="AD156" s="22"/>
      <c r="AE156" s="24" t="str">
        <f>IFERROR(AF156/AB156,"-")</f>
        <v>-</v>
      </c>
      <c r="AF156" s="25">
        <f>IFERROR(SUM(AF146:AF155),"-")</f>
        <v>0</v>
      </c>
      <c r="AG156" s="23" t="str">
        <f t="shared" si="363"/>
        <v>-</v>
      </c>
      <c r="AH156" s="22"/>
      <c r="AI156" s="24" t="str">
        <f>IFERROR(AJ156/AB156,"-")</f>
        <v>-</v>
      </c>
      <c r="AJ156" s="25">
        <v>0</v>
      </c>
      <c r="AK156" s="23" t="str">
        <f>IFERROR(L156/AJ156,"-")</f>
        <v>-</v>
      </c>
      <c r="AL156" s="22"/>
      <c r="AM156" s="24" t="str">
        <f t="shared" si="366"/>
        <v>-</v>
      </c>
      <c r="AN156" s="23" t="str">
        <f>IFERROR(AO156/AF156,"-")</f>
        <v>-</v>
      </c>
      <c r="AO156" s="23">
        <f>IFERROR(SUM(AO146:AO155),"-")</f>
        <v>0</v>
      </c>
      <c r="AP156" s="22"/>
    </row>
    <row r="157" spans="1:42" ht="15.75" customHeight="1" x14ac:dyDescent="0.3">
      <c r="A157" s="33"/>
      <c r="B157" s="34"/>
      <c r="C157" s="34"/>
      <c r="D157" s="34"/>
      <c r="E157" s="33"/>
      <c r="F157" s="34"/>
      <c r="G157" s="34"/>
      <c r="H157" s="34"/>
      <c r="I157" s="34"/>
      <c r="J157" s="33"/>
      <c r="K157" s="34"/>
      <c r="L157" s="34"/>
      <c r="M157" s="34"/>
      <c r="N157" s="34"/>
      <c r="O157" s="34"/>
      <c r="P157" s="34"/>
      <c r="Q157" s="34"/>
      <c r="R157" s="33"/>
      <c r="S157" s="34"/>
      <c r="T157" s="34"/>
      <c r="U157" s="34"/>
      <c r="V157" s="34"/>
      <c r="W157" s="34"/>
      <c r="X157" s="34"/>
      <c r="Y157" s="34"/>
      <c r="Z157" s="33"/>
      <c r="AA157" s="34"/>
      <c r="AB157" s="34"/>
      <c r="AC157" s="34"/>
      <c r="AD157" s="33"/>
      <c r="AE157" s="34"/>
      <c r="AF157" s="34"/>
      <c r="AG157" s="34"/>
      <c r="AH157" s="33"/>
      <c r="AI157" s="34"/>
      <c r="AJ157" s="34"/>
      <c r="AK157" s="34"/>
      <c r="AL157" s="33"/>
      <c r="AM157" s="34"/>
      <c r="AN157" s="34"/>
      <c r="AO157" s="34"/>
      <c r="AP157" s="33"/>
    </row>
    <row r="158" spans="1:42" ht="15.75" customHeight="1" x14ac:dyDescent="0.3">
      <c r="A158" s="33"/>
      <c r="B158" s="34"/>
      <c r="C158" s="34"/>
      <c r="D158" s="34"/>
      <c r="E158" s="33"/>
      <c r="F158" s="34"/>
      <c r="G158" s="34"/>
      <c r="H158" s="34"/>
      <c r="I158" s="34"/>
      <c r="J158" s="33"/>
      <c r="K158" s="34"/>
      <c r="L158" s="34"/>
      <c r="M158" s="34"/>
      <c r="N158" s="34"/>
      <c r="O158" s="34"/>
      <c r="P158" s="34"/>
      <c r="Q158" s="34"/>
      <c r="R158" s="33"/>
      <c r="S158" s="34"/>
      <c r="T158" s="34"/>
      <c r="U158" s="34"/>
      <c r="V158" s="34"/>
      <c r="W158" s="34"/>
      <c r="X158" s="34"/>
      <c r="Y158" s="34"/>
      <c r="Z158" s="33"/>
      <c r="AA158" s="34"/>
      <c r="AB158" s="34"/>
      <c r="AC158" s="34"/>
      <c r="AD158" s="33"/>
      <c r="AE158" s="34"/>
      <c r="AF158" s="34"/>
      <c r="AG158" s="34"/>
      <c r="AH158" s="33"/>
      <c r="AI158" s="34"/>
      <c r="AJ158" s="34"/>
      <c r="AK158" s="34"/>
      <c r="AL158" s="33"/>
      <c r="AM158" s="34"/>
      <c r="AN158" s="34"/>
      <c r="AO158" s="34"/>
      <c r="AP158" s="33"/>
    </row>
    <row r="159" spans="1:42" ht="15.75" customHeight="1" x14ac:dyDescent="0.3">
      <c r="A159" s="33"/>
      <c r="B159" s="34"/>
      <c r="C159" s="34"/>
      <c r="D159" s="34"/>
      <c r="E159" s="33"/>
      <c r="F159" s="34"/>
      <c r="G159" s="34"/>
      <c r="H159" s="34"/>
      <c r="I159" s="34"/>
      <c r="J159" s="33"/>
      <c r="K159" s="34"/>
      <c r="L159" s="34"/>
      <c r="M159" s="34"/>
      <c r="N159" s="34"/>
      <c r="O159" s="34"/>
      <c r="P159" s="34"/>
      <c r="Q159" s="34"/>
      <c r="R159" s="33"/>
      <c r="S159" s="34"/>
      <c r="T159" s="34"/>
      <c r="U159" s="34"/>
      <c r="V159" s="34"/>
      <c r="W159" s="34"/>
      <c r="X159" s="34"/>
      <c r="Y159" s="34"/>
      <c r="Z159" s="33"/>
      <c r="AA159" s="34"/>
      <c r="AB159" s="34"/>
      <c r="AC159" s="34"/>
      <c r="AD159" s="33"/>
      <c r="AE159" s="34"/>
      <c r="AF159" s="34"/>
      <c r="AG159" s="34"/>
      <c r="AH159" s="33"/>
      <c r="AI159" s="34"/>
      <c r="AJ159" s="34"/>
      <c r="AK159" s="34"/>
      <c r="AL159" s="33"/>
      <c r="AM159" s="34"/>
      <c r="AN159" s="34"/>
      <c r="AO159" s="34"/>
      <c r="AP159" s="33"/>
    </row>
    <row r="160" spans="1:42" ht="15.75" customHeight="1" x14ac:dyDescent="0.3">
      <c r="A160" s="33"/>
      <c r="B160" s="34"/>
      <c r="C160" s="34"/>
      <c r="D160" s="34"/>
      <c r="E160" s="33"/>
      <c r="F160" s="34"/>
      <c r="G160" s="34"/>
      <c r="H160" s="34"/>
      <c r="I160" s="34"/>
      <c r="J160" s="33"/>
      <c r="K160" s="34"/>
      <c r="L160" s="34"/>
      <c r="M160" s="34"/>
      <c r="N160" s="34"/>
      <c r="O160" s="34"/>
      <c r="P160" s="34"/>
      <c r="Q160" s="34"/>
      <c r="R160" s="33"/>
      <c r="S160" s="34"/>
      <c r="T160" s="34"/>
      <c r="U160" s="34"/>
      <c r="V160" s="34"/>
      <c r="W160" s="34"/>
      <c r="X160" s="34"/>
      <c r="Y160" s="34"/>
      <c r="Z160" s="33"/>
      <c r="AA160" s="34"/>
      <c r="AB160" s="34"/>
      <c r="AC160" s="34"/>
      <c r="AD160" s="33"/>
      <c r="AE160" s="34"/>
      <c r="AF160" s="34"/>
      <c r="AG160" s="34"/>
      <c r="AH160" s="33"/>
      <c r="AI160" s="34"/>
      <c r="AJ160" s="34"/>
      <c r="AK160" s="34"/>
      <c r="AL160" s="33"/>
      <c r="AM160" s="34"/>
      <c r="AN160" s="34"/>
      <c r="AO160" s="34"/>
      <c r="AP160" s="33"/>
    </row>
    <row r="161" spans="1:42" ht="15.75" customHeight="1" x14ac:dyDescent="0.3">
      <c r="A161" s="33"/>
      <c r="B161" s="34"/>
      <c r="C161" s="34"/>
      <c r="D161" s="34"/>
      <c r="E161" s="33"/>
      <c r="F161" s="34"/>
      <c r="G161" s="34"/>
      <c r="H161" s="34"/>
      <c r="I161" s="34"/>
      <c r="J161" s="33"/>
      <c r="K161" s="34"/>
      <c r="L161" s="34"/>
      <c r="M161" s="34"/>
      <c r="N161" s="34"/>
      <c r="O161" s="34"/>
      <c r="P161" s="34"/>
      <c r="Q161" s="34"/>
      <c r="R161" s="33"/>
      <c r="S161" s="34"/>
      <c r="T161" s="34"/>
      <c r="U161" s="34"/>
      <c r="V161" s="34"/>
      <c r="W161" s="34"/>
      <c r="X161" s="34"/>
      <c r="Y161" s="34"/>
      <c r="Z161" s="33"/>
      <c r="AA161" s="34"/>
      <c r="AB161" s="34"/>
      <c r="AC161" s="34"/>
      <c r="AD161" s="33"/>
      <c r="AE161" s="34"/>
      <c r="AF161" s="34"/>
      <c r="AG161" s="34"/>
      <c r="AH161" s="33"/>
      <c r="AI161" s="34"/>
      <c r="AJ161" s="34"/>
      <c r="AK161" s="34"/>
      <c r="AL161" s="33"/>
      <c r="AM161" s="34"/>
      <c r="AN161" s="34"/>
      <c r="AO161" s="34"/>
      <c r="AP161" s="33"/>
    </row>
    <row r="162" spans="1:42" ht="15.75" customHeight="1" x14ac:dyDescent="0.3">
      <c r="A162" s="33"/>
      <c r="B162" s="34"/>
      <c r="C162" s="34"/>
      <c r="D162" s="34"/>
      <c r="E162" s="33"/>
      <c r="F162" s="34"/>
      <c r="G162" s="34"/>
      <c r="H162" s="34"/>
      <c r="I162" s="34"/>
      <c r="J162" s="33"/>
      <c r="K162" s="34"/>
      <c r="L162" s="34"/>
      <c r="M162" s="34"/>
      <c r="N162" s="34"/>
      <c r="O162" s="34"/>
      <c r="P162" s="34"/>
      <c r="Q162" s="34"/>
      <c r="R162" s="33"/>
      <c r="S162" s="34"/>
      <c r="T162" s="34"/>
      <c r="U162" s="34"/>
      <c r="V162" s="34"/>
      <c r="W162" s="34"/>
      <c r="X162" s="34"/>
      <c r="Y162" s="34"/>
      <c r="Z162" s="33"/>
      <c r="AA162" s="34"/>
      <c r="AB162" s="34"/>
      <c r="AC162" s="34"/>
      <c r="AD162" s="33"/>
      <c r="AE162" s="34"/>
      <c r="AF162" s="34"/>
      <c r="AG162" s="34"/>
      <c r="AH162" s="33"/>
      <c r="AI162" s="34"/>
      <c r="AJ162" s="34"/>
      <c r="AK162" s="34"/>
      <c r="AL162" s="33"/>
      <c r="AM162" s="34"/>
      <c r="AN162" s="34"/>
      <c r="AO162" s="34"/>
      <c r="AP162" s="33"/>
    </row>
    <row r="163" spans="1:42" ht="15.75" customHeight="1" x14ac:dyDescent="0.3">
      <c r="A163" s="33"/>
      <c r="B163" s="34"/>
      <c r="C163" s="34"/>
      <c r="D163" s="34"/>
      <c r="E163" s="33"/>
      <c r="F163" s="34"/>
      <c r="G163" s="34"/>
      <c r="H163" s="34"/>
      <c r="I163" s="34"/>
      <c r="J163" s="33"/>
      <c r="K163" s="34"/>
      <c r="L163" s="34"/>
      <c r="M163" s="34"/>
      <c r="N163" s="34"/>
      <c r="O163" s="34"/>
      <c r="P163" s="34"/>
      <c r="Q163" s="34"/>
      <c r="R163" s="33"/>
      <c r="S163" s="34"/>
      <c r="T163" s="34"/>
      <c r="U163" s="34"/>
      <c r="V163" s="34"/>
      <c r="W163" s="34"/>
      <c r="X163" s="34"/>
      <c r="Y163" s="34"/>
      <c r="Z163" s="33"/>
      <c r="AA163" s="34"/>
      <c r="AB163" s="34"/>
      <c r="AC163" s="34"/>
      <c r="AD163" s="33"/>
      <c r="AE163" s="34"/>
      <c r="AF163" s="34"/>
      <c r="AG163" s="34"/>
      <c r="AH163" s="33"/>
      <c r="AI163" s="34"/>
      <c r="AJ163" s="34"/>
      <c r="AK163" s="34"/>
      <c r="AL163" s="33"/>
      <c r="AM163" s="34"/>
      <c r="AN163" s="34"/>
      <c r="AO163" s="34"/>
      <c r="AP163" s="33"/>
    </row>
    <row r="164" spans="1:42" ht="15.75" customHeight="1" x14ac:dyDescent="0.3">
      <c r="A164" s="33"/>
      <c r="B164" s="34"/>
      <c r="C164" s="34"/>
      <c r="D164" s="34"/>
      <c r="E164" s="33"/>
      <c r="F164" s="34"/>
      <c r="G164" s="34"/>
      <c r="H164" s="34"/>
      <c r="I164" s="34"/>
      <c r="J164" s="33"/>
      <c r="K164" s="34"/>
      <c r="L164" s="34"/>
      <c r="M164" s="34"/>
      <c r="N164" s="34"/>
      <c r="O164" s="34"/>
      <c r="P164" s="34"/>
      <c r="Q164" s="34"/>
      <c r="R164" s="33"/>
      <c r="S164" s="34"/>
      <c r="T164" s="34"/>
      <c r="U164" s="34"/>
      <c r="V164" s="34"/>
      <c r="W164" s="34"/>
      <c r="X164" s="34"/>
      <c r="Y164" s="34"/>
      <c r="Z164" s="33"/>
      <c r="AA164" s="34"/>
      <c r="AB164" s="34"/>
      <c r="AC164" s="34"/>
      <c r="AD164" s="33"/>
      <c r="AE164" s="34"/>
      <c r="AF164" s="34"/>
      <c r="AG164" s="34"/>
      <c r="AH164" s="33"/>
      <c r="AI164" s="34"/>
      <c r="AJ164" s="34"/>
      <c r="AK164" s="34"/>
      <c r="AL164" s="33"/>
      <c r="AM164" s="34"/>
      <c r="AN164" s="34"/>
      <c r="AO164" s="34"/>
      <c r="AP164" s="33"/>
    </row>
    <row r="165" spans="1:42" ht="15.75" customHeight="1" x14ac:dyDescent="0.3">
      <c r="A165" s="33"/>
      <c r="B165" s="34"/>
      <c r="C165" s="34"/>
      <c r="D165" s="34"/>
      <c r="E165" s="33"/>
      <c r="F165" s="34"/>
      <c r="G165" s="34"/>
      <c r="H165" s="34"/>
      <c r="I165" s="34"/>
      <c r="J165" s="33"/>
      <c r="K165" s="34"/>
      <c r="L165" s="34"/>
      <c r="M165" s="34"/>
      <c r="N165" s="34"/>
      <c r="O165" s="34"/>
      <c r="P165" s="34"/>
      <c r="Q165" s="34"/>
      <c r="R165" s="33"/>
      <c r="S165" s="34"/>
      <c r="T165" s="34"/>
      <c r="U165" s="34"/>
      <c r="V165" s="34"/>
      <c r="W165" s="34"/>
      <c r="X165" s="34"/>
      <c r="Y165" s="34"/>
      <c r="Z165" s="33"/>
      <c r="AA165" s="34"/>
      <c r="AB165" s="34"/>
      <c r="AC165" s="34"/>
      <c r="AD165" s="33"/>
      <c r="AE165" s="34"/>
      <c r="AF165" s="34"/>
      <c r="AG165" s="34"/>
      <c r="AH165" s="33"/>
      <c r="AI165" s="34"/>
      <c r="AJ165" s="34"/>
      <c r="AK165" s="34"/>
      <c r="AL165" s="33"/>
      <c r="AM165" s="34"/>
      <c r="AN165" s="34"/>
      <c r="AO165" s="34"/>
      <c r="AP165" s="33"/>
    </row>
    <row r="166" spans="1:42" ht="15.75" customHeight="1" x14ac:dyDescent="0.3">
      <c r="A166" s="33"/>
      <c r="B166" s="34"/>
      <c r="C166" s="34"/>
      <c r="D166" s="34"/>
      <c r="E166" s="33"/>
      <c r="F166" s="34"/>
      <c r="G166" s="34"/>
      <c r="H166" s="34"/>
      <c r="I166" s="34"/>
      <c r="J166" s="33"/>
      <c r="K166" s="34"/>
      <c r="L166" s="34"/>
      <c r="M166" s="34"/>
      <c r="N166" s="34"/>
      <c r="O166" s="34"/>
      <c r="P166" s="34"/>
      <c r="Q166" s="34"/>
      <c r="R166" s="33"/>
      <c r="S166" s="34"/>
      <c r="T166" s="34"/>
      <c r="U166" s="34"/>
      <c r="V166" s="34"/>
      <c r="W166" s="34"/>
      <c r="X166" s="34"/>
      <c r="Y166" s="34"/>
      <c r="Z166" s="33"/>
      <c r="AA166" s="34"/>
      <c r="AB166" s="34"/>
      <c r="AC166" s="34"/>
      <c r="AD166" s="33"/>
      <c r="AE166" s="34"/>
      <c r="AF166" s="34"/>
      <c r="AG166" s="34"/>
      <c r="AH166" s="33"/>
      <c r="AI166" s="34"/>
      <c r="AJ166" s="34"/>
      <c r="AK166" s="34"/>
      <c r="AL166" s="33"/>
      <c r="AM166" s="34"/>
      <c r="AN166" s="34"/>
      <c r="AO166" s="34"/>
      <c r="AP166" s="33"/>
    </row>
    <row r="167" spans="1:42" ht="15.75" customHeight="1" x14ac:dyDescent="0.3">
      <c r="A167" s="33"/>
      <c r="B167" s="34"/>
      <c r="C167" s="34"/>
      <c r="D167" s="34"/>
      <c r="E167" s="33"/>
      <c r="F167" s="34"/>
      <c r="G167" s="34"/>
      <c r="H167" s="34"/>
      <c r="I167" s="34"/>
      <c r="J167" s="33"/>
      <c r="K167" s="34"/>
      <c r="L167" s="34"/>
      <c r="M167" s="34"/>
      <c r="N167" s="34"/>
      <c r="O167" s="34"/>
      <c r="P167" s="34"/>
      <c r="Q167" s="34"/>
      <c r="R167" s="33"/>
      <c r="S167" s="34"/>
      <c r="T167" s="34"/>
      <c r="U167" s="34"/>
      <c r="V167" s="34"/>
      <c r="W167" s="34"/>
      <c r="X167" s="34"/>
      <c r="Y167" s="34"/>
      <c r="Z167" s="33"/>
      <c r="AA167" s="34"/>
      <c r="AB167" s="34"/>
      <c r="AC167" s="34"/>
      <c r="AD167" s="33"/>
      <c r="AE167" s="34"/>
      <c r="AF167" s="34"/>
      <c r="AG167" s="34"/>
      <c r="AH167" s="33"/>
      <c r="AI167" s="34"/>
      <c r="AJ167" s="34"/>
      <c r="AK167" s="34"/>
      <c r="AL167" s="33"/>
      <c r="AM167" s="34"/>
      <c r="AN167" s="34"/>
      <c r="AO167" s="34"/>
      <c r="AP167" s="33"/>
    </row>
    <row r="168" spans="1:42" ht="15.75" customHeight="1" x14ac:dyDescent="0.3">
      <c r="A168" s="33"/>
      <c r="B168" s="34"/>
      <c r="C168" s="34"/>
      <c r="D168" s="34"/>
      <c r="E168" s="33"/>
      <c r="F168" s="34"/>
      <c r="G168" s="34"/>
      <c r="H168" s="34"/>
      <c r="I168" s="34"/>
      <c r="J168" s="33"/>
      <c r="K168" s="34"/>
      <c r="L168" s="34"/>
      <c r="M168" s="34"/>
      <c r="N168" s="34"/>
      <c r="O168" s="34"/>
      <c r="P168" s="34"/>
      <c r="Q168" s="34"/>
      <c r="R168" s="33"/>
      <c r="S168" s="34"/>
      <c r="T168" s="34"/>
      <c r="U168" s="34"/>
      <c r="V168" s="34"/>
      <c r="W168" s="34"/>
      <c r="X168" s="34"/>
      <c r="Y168" s="34"/>
      <c r="Z168" s="33"/>
      <c r="AA168" s="34"/>
      <c r="AB168" s="34"/>
      <c r="AC168" s="34"/>
      <c r="AD168" s="33"/>
      <c r="AE168" s="34"/>
      <c r="AF168" s="34"/>
      <c r="AG168" s="34"/>
      <c r="AH168" s="33"/>
      <c r="AI168" s="34"/>
      <c r="AJ168" s="34"/>
      <c r="AK168" s="34"/>
      <c r="AL168" s="33"/>
      <c r="AM168" s="34"/>
      <c r="AN168" s="34"/>
      <c r="AO168" s="34"/>
      <c r="AP168" s="33"/>
    </row>
    <row r="169" spans="1:42" ht="15.75" customHeight="1" x14ac:dyDescent="0.3">
      <c r="A169" s="33"/>
      <c r="B169" s="34"/>
      <c r="C169" s="34"/>
      <c r="D169" s="34"/>
      <c r="E169" s="33"/>
      <c r="F169" s="34"/>
      <c r="G169" s="34"/>
      <c r="H169" s="34"/>
      <c r="I169" s="34"/>
      <c r="J169" s="33"/>
      <c r="K169" s="34"/>
      <c r="L169" s="34"/>
      <c r="M169" s="34"/>
      <c r="N169" s="34"/>
      <c r="O169" s="34"/>
      <c r="P169" s="34"/>
      <c r="Q169" s="34"/>
      <c r="R169" s="33"/>
      <c r="S169" s="34"/>
      <c r="T169" s="34"/>
      <c r="U169" s="34"/>
      <c r="V169" s="34"/>
      <c r="W169" s="34"/>
      <c r="X169" s="34"/>
      <c r="Y169" s="34"/>
      <c r="Z169" s="33"/>
      <c r="AA169" s="34"/>
      <c r="AB169" s="34"/>
      <c r="AC169" s="34"/>
      <c r="AD169" s="33"/>
      <c r="AE169" s="34"/>
      <c r="AF169" s="34"/>
      <c r="AG169" s="34"/>
      <c r="AH169" s="33"/>
      <c r="AI169" s="34"/>
      <c r="AJ169" s="34"/>
      <c r="AK169" s="34"/>
      <c r="AL169" s="33"/>
      <c r="AM169" s="34"/>
      <c r="AN169" s="34"/>
      <c r="AO169" s="34"/>
      <c r="AP169" s="33"/>
    </row>
    <row r="170" spans="1:42" ht="15.75" customHeight="1" x14ac:dyDescent="0.3">
      <c r="A170" s="33"/>
      <c r="B170" s="34"/>
      <c r="C170" s="34"/>
      <c r="D170" s="34"/>
      <c r="E170" s="33"/>
      <c r="F170" s="34"/>
      <c r="G170" s="34"/>
      <c r="H170" s="34"/>
      <c r="I170" s="34"/>
      <c r="J170" s="33"/>
      <c r="K170" s="34"/>
      <c r="L170" s="34"/>
      <c r="M170" s="34"/>
      <c r="N170" s="34"/>
      <c r="O170" s="34"/>
      <c r="P170" s="34"/>
      <c r="Q170" s="34"/>
      <c r="R170" s="33"/>
      <c r="S170" s="34"/>
      <c r="T170" s="34"/>
      <c r="U170" s="34"/>
      <c r="V170" s="34"/>
      <c r="W170" s="34"/>
      <c r="X170" s="34"/>
      <c r="Y170" s="34"/>
      <c r="Z170" s="33"/>
      <c r="AA170" s="34"/>
      <c r="AB170" s="34"/>
      <c r="AC170" s="34"/>
      <c r="AD170" s="33"/>
      <c r="AE170" s="34"/>
      <c r="AF170" s="34"/>
      <c r="AG170" s="34"/>
      <c r="AH170" s="33"/>
      <c r="AI170" s="34"/>
      <c r="AJ170" s="34"/>
      <c r="AK170" s="34"/>
      <c r="AL170" s="33"/>
      <c r="AM170" s="34"/>
      <c r="AN170" s="34"/>
      <c r="AO170" s="34"/>
      <c r="AP170" s="33"/>
    </row>
    <row r="171" spans="1:42" ht="15.75" customHeight="1" x14ac:dyDescent="0.3">
      <c r="A171" s="33"/>
      <c r="B171" s="34"/>
      <c r="C171" s="34"/>
      <c r="D171" s="34"/>
      <c r="E171" s="33"/>
      <c r="F171" s="34"/>
      <c r="G171" s="34"/>
      <c r="H171" s="34"/>
      <c r="I171" s="34"/>
      <c r="J171" s="33"/>
      <c r="K171" s="34"/>
      <c r="L171" s="34"/>
      <c r="M171" s="34"/>
      <c r="N171" s="34"/>
      <c r="O171" s="34"/>
      <c r="P171" s="34"/>
      <c r="Q171" s="34"/>
      <c r="R171" s="33"/>
      <c r="S171" s="34"/>
      <c r="T171" s="34"/>
      <c r="U171" s="34"/>
      <c r="V171" s="34"/>
      <c r="W171" s="34"/>
      <c r="X171" s="34"/>
      <c r="Y171" s="34"/>
      <c r="Z171" s="33"/>
      <c r="AA171" s="34"/>
      <c r="AB171" s="34"/>
      <c r="AC171" s="34"/>
      <c r="AD171" s="33"/>
      <c r="AE171" s="34"/>
      <c r="AF171" s="34"/>
      <c r="AG171" s="34"/>
      <c r="AH171" s="33"/>
      <c r="AI171" s="34"/>
      <c r="AJ171" s="34"/>
      <c r="AK171" s="34"/>
      <c r="AL171" s="33"/>
      <c r="AM171" s="34"/>
      <c r="AN171" s="34"/>
      <c r="AO171" s="34"/>
      <c r="AP171" s="33"/>
    </row>
    <row r="172" spans="1:42" ht="15.75" customHeight="1" x14ac:dyDescent="0.3">
      <c r="A172" s="33"/>
      <c r="B172" s="34"/>
      <c r="C172" s="34"/>
      <c r="D172" s="34"/>
      <c r="E172" s="33"/>
      <c r="F172" s="34"/>
      <c r="G172" s="34"/>
      <c r="H172" s="34"/>
      <c r="I172" s="34"/>
      <c r="J172" s="33"/>
      <c r="K172" s="34"/>
      <c r="L172" s="34"/>
      <c r="M172" s="34"/>
      <c r="N172" s="34"/>
      <c r="O172" s="34"/>
      <c r="P172" s="34"/>
      <c r="Q172" s="34"/>
      <c r="R172" s="33"/>
      <c r="S172" s="34"/>
      <c r="T172" s="34"/>
      <c r="U172" s="34"/>
      <c r="V172" s="34"/>
      <c r="W172" s="34"/>
      <c r="X172" s="34"/>
      <c r="Y172" s="34"/>
      <c r="Z172" s="33"/>
      <c r="AA172" s="34"/>
      <c r="AB172" s="34"/>
      <c r="AC172" s="34"/>
      <c r="AD172" s="33"/>
      <c r="AE172" s="34"/>
      <c r="AF172" s="34"/>
      <c r="AG172" s="34"/>
      <c r="AH172" s="33"/>
      <c r="AI172" s="34"/>
      <c r="AJ172" s="34"/>
      <c r="AK172" s="34"/>
      <c r="AL172" s="33"/>
      <c r="AM172" s="34"/>
      <c r="AN172" s="34"/>
      <c r="AO172" s="34"/>
      <c r="AP172" s="33"/>
    </row>
    <row r="173" spans="1:42" ht="15.75" customHeight="1" x14ac:dyDescent="0.3">
      <c r="A173" s="33"/>
      <c r="B173" s="34"/>
      <c r="C173" s="34"/>
      <c r="D173" s="34"/>
      <c r="E173" s="33"/>
      <c r="F173" s="34"/>
      <c r="G173" s="34"/>
      <c r="H173" s="34"/>
      <c r="I173" s="34"/>
      <c r="J173" s="33"/>
      <c r="K173" s="34"/>
      <c r="L173" s="34"/>
      <c r="M173" s="34"/>
      <c r="N173" s="34"/>
      <c r="O173" s="34"/>
      <c r="P173" s="34"/>
      <c r="Q173" s="34"/>
      <c r="R173" s="33"/>
      <c r="S173" s="34"/>
      <c r="T173" s="34"/>
      <c r="U173" s="34"/>
      <c r="V173" s="34"/>
      <c r="W173" s="34"/>
      <c r="X173" s="34"/>
      <c r="Y173" s="34"/>
      <c r="Z173" s="33"/>
      <c r="AA173" s="34"/>
      <c r="AB173" s="34"/>
      <c r="AC173" s="34"/>
      <c r="AD173" s="33"/>
      <c r="AE173" s="34"/>
      <c r="AF173" s="34"/>
      <c r="AG173" s="34"/>
      <c r="AH173" s="33"/>
      <c r="AI173" s="34"/>
      <c r="AJ173" s="34"/>
      <c r="AK173" s="34"/>
      <c r="AL173" s="33"/>
      <c r="AM173" s="34"/>
      <c r="AN173" s="34"/>
      <c r="AO173" s="34"/>
      <c r="AP173" s="33"/>
    </row>
    <row r="174" spans="1:42" ht="15.75" customHeight="1" x14ac:dyDescent="0.3">
      <c r="A174" s="33"/>
      <c r="B174" s="34"/>
      <c r="C174" s="34"/>
      <c r="D174" s="34"/>
      <c r="E174" s="33"/>
      <c r="F174" s="34"/>
      <c r="G174" s="34"/>
      <c r="H174" s="34"/>
      <c r="I174" s="34"/>
      <c r="J174" s="33"/>
      <c r="K174" s="34"/>
      <c r="L174" s="34"/>
      <c r="M174" s="34"/>
      <c r="N174" s="34"/>
      <c r="O174" s="34"/>
      <c r="P174" s="34"/>
      <c r="Q174" s="34"/>
      <c r="R174" s="33"/>
      <c r="S174" s="34"/>
      <c r="T174" s="34"/>
      <c r="U174" s="34"/>
      <c r="V174" s="34"/>
      <c r="W174" s="34"/>
      <c r="X174" s="34"/>
      <c r="Y174" s="34"/>
      <c r="Z174" s="33"/>
      <c r="AA174" s="34"/>
      <c r="AB174" s="34"/>
      <c r="AC174" s="34"/>
      <c r="AD174" s="33"/>
      <c r="AE174" s="34"/>
      <c r="AF174" s="34"/>
      <c r="AG174" s="34"/>
      <c r="AH174" s="33"/>
      <c r="AI174" s="34"/>
      <c r="AJ174" s="34"/>
      <c r="AK174" s="34"/>
      <c r="AL174" s="33"/>
      <c r="AM174" s="34"/>
      <c r="AN174" s="34"/>
      <c r="AO174" s="34"/>
      <c r="AP174" s="33"/>
    </row>
    <row r="175" spans="1:42" ht="15.75" customHeight="1" x14ac:dyDescent="0.3">
      <c r="A175" s="33"/>
      <c r="B175" s="34"/>
      <c r="C175" s="34"/>
      <c r="D175" s="34"/>
      <c r="E175" s="33"/>
      <c r="F175" s="34"/>
      <c r="G175" s="34"/>
      <c r="H175" s="34"/>
      <c r="I175" s="34"/>
      <c r="J175" s="33"/>
      <c r="K175" s="34"/>
      <c r="L175" s="34"/>
      <c r="M175" s="34"/>
      <c r="N175" s="34"/>
      <c r="O175" s="34"/>
      <c r="P175" s="34"/>
      <c r="Q175" s="34"/>
      <c r="R175" s="33"/>
      <c r="S175" s="34"/>
      <c r="T175" s="34"/>
      <c r="U175" s="34"/>
      <c r="V175" s="34"/>
      <c r="W175" s="34"/>
      <c r="X175" s="34"/>
      <c r="Y175" s="34"/>
      <c r="Z175" s="33"/>
      <c r="AA175" s="34"/>
      <c r="AB175" s="34"/>
      <c r="AC175" s="34"/>
      <c r="AD175" s="33"/>
      <c r="AE175" s="34"/>
      <c r="AF175" s="34"/>
      <c r="AG175" s="34"/>
      <c r="AH175" s="33"/>
      <c r="AI175" s="34"/>
      <c r="AJ175" s="34"/>
      <c r="AK175" s="34"/>
      <c r="AL175" s="33"/>
      <c r="AM175" s="34"/>
      <c r="AN175" s="34"/>
      <c r="AO175" s="34"/>
      <c r="AP175" s="33"/>
    </row>
    <row r="176" spans="1:42" ht="15.75" customHeight="1" x14ac:dyDescent="0.3">
      <c r="A176" s="33"/>
      <c r="B176" s="34"/>
      <c r="C176" s="34"/>
      <c r="D176" s="34"/>
      <c r="E176" s="33"/>
      <c r="F176" s="34"/>
      <c r="G176" s="34"/>
      <c r="H176" s="34"/>
      <c r="I176" s="34"/>
      <c r="J176" s="33"/>
      <c r="K176" s="34"/>
      <c r="L176" s="34"/>
      <c r="M176" s="34"/>
      <c r="N176" s="34"/>
      <c r="O176" s="34"/>
      <c r="P176" s="34"/>
      <c r="Q176" s="34"/>
      <c r="R176" s="33"/>
      <c r="S176" s="34"/>
      <c r="T176" s="34"/>
      <c r="U176" s="34"/>
      <c r="V176" s="34"/>
      <c r="W176" s="34"/>
      <c r="X176" s="34"/>
      <c r="Y176" s="34"/>
      <c r="Z176" s="33"/>
      <c r="AA176" s="34"/>
      <c r="AB176" s="34"/>
      <c r="AC176" s="34"/>
      <c r="AD176" s="33"/>
      <c r="AE176" s="34"/>
      <c r="AF176" s="34"/>
      <c r="AG176" s="34"/>
      <c r="AH176" s="33"/>
      <c r="AI176" s="34"/>
      <c r="AJ176" s="34"/>
      <c r="AK176" s="34"/>
      <c r="AL176" s="33"/>
      <c r="AM176" s="34"/>
      <c r="AN176" s="34"/>
      <c r="AO176" s="34"/>
      <c r="AP176" s="33"/>
    </row>
    <row r="177" spans="1:42" ht="15.75" customHeight="1" x14ac:dyDescent="0.3">
      <c r="A177" s="33"/>
      <c r="B177" s="34"/>
      <c r="C177" s="34"/>
      <c r="D177" s="34"/>
      <c r="E177" s="33"/>
      <c r="F177" s="34"/>
      <c r="G177" s="34"/>
      <c r="H177" s="34"/>
      <c r="I177" s="34"/>
      <c r="J177" s="33"/>
      <c r="K177" s="34"/>
      <c r="L177" s="34"/>
      <c r="M177" s="34"/>
      <c r="N177" s="34"/>
      <c r="O177" s="34"/>
      <c r="P177" s="34"/>
      <c r="Q177" s="34"/>
      <c r="R177" s="33"/>
      <c r="S177" s="34"/>
      <c r="T177" s="34"/>
      <c r="U177" s="34"/>
      <c r="V177" s="34"/>
      <c r="W177" s="34"/>
      <c r="X177" s="34"/>
      <c r="Y177" s="34"/>
      <c r="Z177" s="33"/>
      <c r="AA177" s="34"/>
      <c r="AB177" s="34"/>
      <c r="AC177" s="34"/>
      <c r="AD177" s="33"/>
      <c r="AE177" s="34"/>
      <c r="AF177" s="34"/>
      <c r="AG177" s="34"/>
      <c r="AH177" s="33"/>
      <c r="AI177" s="34"/>
      <c r="AJ177" s="34"/>
      <c r="AK177" s="34"/>
      <c r="AL177" s="33"/>
      <c r="AM177" s="34"/>
      <c r="AN177" s="34"/>
      <c r="AO177" s="34"/>
      <c r="AP177" s="33"/>
    </row>
    <row r="178" spans="1:42" ht="15.75" customHeight="1" x14ac:dyDescent="0.3">
      <c r="A178" s="33"/>
      <c r="B178" s="34"/>
      <c r="C178" s="34"/>
      <c r="D178" s="34"/>
      <c r="E178" s="33"/>
      <c r="F178" s="34"/>
      <c r="G178" s="34"/>
      <c r="H178" s="34"/>
      <c r="I178" s="34"/>
      <c r="J178" s="33"/>
      <c r="K178" s="34"/>
      <c r="L178" s="34"/>
      <c r="M178" s="34"/>
      <c r="N178" s="34"/>
      <c r="O178" s="34"/>
      <c r="P178" s="34"/>
      <c r="Q178" s="34"/>
      <c r="R178" s="33"/>
      <c r="S178" s="34"/>
      <c r="T178" s="34"/>
      <c r="U178" s="34"/>
      <c r="V178" s="34"/>
      <c r="W178" s="34"/>
      <c r="X178" s="34"/>
      <c r="Y178" s="34"/>
      <c r="Z178" s="33"/>
      <c r="AA178" s="34"/>
      <c r="AB178" s="34"/>
      <c r="AC178" s="34"/>
      <c r="AD178" s="33"/>
      <c r="AE178" s="34"/>
      <c r="AF178" s="34"/>
      <c r="AG178" s="34"/>
      <c r="AH178" s="33"/>
      <c r="AI178" s="34"/>
      <c r="AJ178" s="34"/>
      <c r="AK178" s="34"/>
      <c r="AL178" s="33"/>
      <c r="AM178" s="34"/>
      <c r="AN178" s="34"/>
      <c r="AO178" s="34"/>
      <c r="AP178" s="33"/>
    </row>
    <row r="179" spans="1:42" ht="15.75" customHeight="1" x14ac:dyDescent="0.3">
      <c r="A179" s="33"/>
      <c r="B179" s="34"/>
      <c r="C179" s="34"/>
      <c r="D179" s="34"/>
      <c r="E179" s="33"/>
      <c r="F179" s="34"/>
      <c r="G179" s="34"/>
      <c r="H179" s="34"/>
      <c r="I179" s="34"/>
      <c r="J179" s="33"/>
      <c r="K179" s="34"/>
      <c r="L179" s="34"/>
      <c r="M179" s="34"/>
      <c r="N179" s="34"/>
      <c r="O179" s="34"/>
      <c r="P179" s="34"/>
      <c r="Q179" s="34"/>
      <c r="R179" s="33"/>
      <c r="S179" s="34"/>
      <c r="T179" s="34"/>
      <c r="U179" s="34"/>
      <c r="V179" s="34"/>
      <c r="W179" s="34"/>
      <c r="X179" s="34"/>
      <c r="Y179" s="34"/>
      <c r="Z179" s="33"/>
      <c r="AA179" s="34"/>
      <c r="AB179" s="34"/>
      <c r="AC179" s="34"/>
      <c r="AD179" s="33"/>
      <c r="AE179" s="34"/>
      <c r="AF179" s="34"/>
      <c r="AG179" s="34"/>
      <c r="AH179" s="33"/>
      <c r="AI179" s="34"/>
      <c r="AJ179" s="34"/>
      <c r="AK179" s="34"/>
      <c r="AL179" s="33"/>
      <c r="AM179" s="34"/>
      <c r="AN179" s="34"/>
      <c r="AO179" s="34"/>
      <c r="AP179" s="33"/>
    </row>
    <row r="180" spans="1:42" ht="15.75" customHeight="1" x14ac:dyDescent="0.3">
      <c r="A180" s="33"/>
      <c r="B180" s="34"/>
      <c r="C180" s="34"/>
      <c r="D180" s="34"/>
      <c r="E180" s="33"/>
      <c r="F180" s="34"/>
      <c r="G180" s="34"/>
      <c r="H180" s="34"/>
      <c r="I180" s="34"/>
      <c r="J180" s="33"/>
      <c r="K180" s="34"/>
      <c r="L180" s="34"/>
      <c r="M180" s="34"/>
      <c r="N180" s="34"/>
      <c r="O180" s="34"/>
      <c r="P180" s="34"/>
      <c r="Q180" s="34"/>
      <c r="R180" s="33"/>
      <c r="S180" s="34"/>
      <c r="T180" s="34"/>
      <c r="U180" s="34"/>
      <c r="V180" s="34"/>
      <c r="W180" s="34"/>
      <c r="X180" s="34"/>
      <c r="Y180" s="34"/>
      <c r="Z180" s="33"/>
      <c r="AA180" s="34"/>
      <c r="AB180" s="34"/>
      <c r="AC180" s="34"/>
      <c r="AD180" s="33"/>
      <c r="AE180" s="34"/>
      <c r="AF180" s="34"/>
      <c r="AG180" s="34"/>
      <c r="AH180" s="33"/>
      <c r="AI180" s="34"/>
      <c r="AJ180" s="34"/>
      <c r="AK180" s="34"/>
      <c r="AL180" s="33"/>
      <c r="AM180" s="34"/>
      <c r="AN180" s="34"/>
      <c r="AO180" s="34"/>
      <c r="AP180" s="33"/>
    </row>
    <row r="181" spans="1:42" ht="15.75" customHeight="1" x14ac:dyDescent="0.3">
      <c r="A181" s="33"/>
      <c r="B181" s="34"/>
      <c r="C181" s="34"/>
      <c r="D181" s="34"/>
      <c r="E181" s="33"/>
      <c r="F181" s="34"/>
      <c r="G181" s="34"/>
      <c r="H181" s="34"/>
      <c r="I181" s="34"/>
      <c r="J181" s="33"/>
      <c r="K181" s="34"/>
      <c r="L181" s="34"/>
      <c r="M181" s="34"/>
      <c r="N181" s="34"/>
      <c r="O181" s="34"/>
      <c r="P181" s="34"/>
      <c r="Q181" s="34"/>
      <c r="R181" s="33"/>
      <c r="S181" s="34"/>
      <c r="T181" s="34"/>
      <c r="U181" s="34"/>
      <c r="V181" s="34"/>
      <c r="W181" s="34"/>
      <c r="X181" s="34"/>
      <c r="Y181" s="34"/>
      <c r="Z181" s="33"/>
      <c r="AA181" s="34"/>
      <c r="AB181" s="34"/>
      <c r="AC181" s="34"/>
      <c r="AD181" s="33"/>
      <c r="AE181" s="34"/>
      <c r="AF181" s="34"/>
      <c r="AG181" s="34"/>
      <c r="AH181" s="33"/>
      <c r="AI181" s="34"/>
      <c r="AJ181" s="34"/>
      <c r="AK181" s="34"/>
      <c r="AL181" s="33"/>
      <c r="AM181" s="34"/>
      <c r="AN181" s="34"/>
      <c r="AO181" s="34"/>
      <c r="AP181" s="33"/>
    </row>
    <row r="182" spans="1:42" ht="15.75" customHeight="1" x14ac:dyDescent="0.3">
      <c r="A182" s="33"/>
      <c r="B182" s="34"/>
      <c r="C182" s="34"/>
      <c r="D182" s="34"/>
      <c r="E182" s="33"/>
      <c r="F182" s="34"/>
      <c r="G182" s="34"/>
      <c r="H182" s="34"/>
      <c r="I182" s="34"/>
      <c r="J182" s="33"/>
      <c r="K182" s="34"/>
      <c r="L182" s="34"/>
      <c r="M182" s="34"/>
      <c r="N182" s="34"/>
      <c r="O182" s="34"/>
      <c r="P182" s="34"/>
      <c r="Q182" s="34"/>
      <c r="R182" s="33"/>
      <c r="S182" s="34"/>
      <c r="T182" s="34"/>
      <c r="U182" s="34"/>
      <c r="V182" s="34"/>
      <c r="W182" s="34"/>
      <c r="X182" s="34"/>
      <c r="Y182" s="34"/>
      <c r="Z182" s="33"/>
      <c r="AA182" s="34"/>
      <c r="AB182" s="34"/>
      <c r="AC182" s="34"/>
      <c r="AD182" s="33"/>
      <c r="AE182" s="34"/>
      <c r="AF182" s="34"/>
      <c r="AG182" s="34"/>
      <c r="AH182" s="33"/>
      <c r="AI182" s="34"/>
      <c r="AJ182" s="34"/>
      <c r="AK182" s="34"/>
      <c r="AL182" s="33"/>
      <c r="AM182" s="34"/>
      <c r="AN182" s="34"/>
      <c r="AO182" s="34"/>
      <c r="AP182" s="33"/>
    </row>
    <row r="183" spans="1:42" ht="15.75" customHeight="1" x14ac:dyDescent="0.3">
      <c r="A183" s="33"/>
      <c r="B183" s="34"/>
      <c r="C183" s="34"/>
      <c r="D183" s="34"/>
      <c r="E183" s="33"/>
      <c r="F183" s="34"/>
      <c r="G183" s="34"/>
      <c r="H183" s="34"/>
      <c r="I183" s="34"/>
      <c r="J183" s="33"/>
      <c r="K183" s="34"/>
      <c r="L183" s="34"/>
      <c r="M183" s="34"/>
      <c r="N183" s="34"/>
      <c r="O183" s="34"/>
      <c r="P183" s="34"/>
      <c r="Q183" s="34"/>
      <c r="R183" s="33"/>
      <c r="S183" s="34"/>
      <c r="T183" s="34"/>
      <c r="U183" s="34"/>
      <c r="V183" s="34"/>
      <c r="W183" s="34"/>
      <c r="X183" s="34"/>
      <c r="Y183" s="34"/>
      <c r="Z183" s="33"/>
      <c r="AA183" s="34"/>
      <c r="AB183" s="34"/>
      <c r="AC183" s="34"/>
      <c r="AD183" s="33"/>
      <c r="AE183" s="34"/>
      <c r="AF183" s="34"/>
      <c r="AG183" s="34"/>
      <c r="AH183" s="33"/>
      <c r="AI183" s="34"/>
      <c r="AJ183" s="34"/>
      <c r="AK183" s="34"/>
      <c r="AL183" s="33"/>
      <c r="AM183" s="34"/>
      <c r="AN183" s="34"/>
      <c r="AO183" s="34"/>
      <c r="AP183" s="33"/>
    </row>
    <row r="184" spans="1:42" ht="15.75" customHeight="1" x14ac:dyDescent="0.3">
      <c r="A184" s="33"/>
      <c r="B184" s="34"/>
      <c r="C184" s="34"/>
      <c r="D184" s="34"/>
      <c r="E184" s="33"/>
      <c r="F184" s="34"/>
      <c r="G184" s="34"/>
      <c r="H184" s="34"/>
      <c r="I184" s="34"/>
      <c r="J184" s="33"/>
      <c r="K184" s="34"/>
      <c r="L184" s="34"/>
      <c r="M184" s="34"/>
      <c r="N184" s="34"/>
      <c r="O184" s="34"/>
      <c r="P184" s="34"/>
      <c r="Q184" s="34"/>
      <c r="R184" s="33"/>
      <c r="S184" s="34"/>
      <c r="T184" s="34"/>
      <c r="U184" s="34"/>
      <c r="V184" s="34"/>
      <c r="W184" s="34"/>
      <c r="X184" s="34"/>
      <c r="Y184" s="34"/>
      <c r="Z184" s="33"/>
      <c r="AA184" s="34"/>
      <c r="AB184" s="34"/>
      <c r="AC184" s="34"/>
      <c r="AD184" s="33"/>
      <c r="AE184" s="34"/>
      <c r="AF184" s="34"/>
      <c r="AG184" s="34"/>
      <c r="AH184" s="33"/>
      <c r="AI184" s="34"/>
      <c r="AJ184" s="34"/>
      <c r="AK184" s="34"/>
      <c r="AL184" s="33"/>
      <c r="AM184" s="34"/>
      <c r="AN184" s="34"/>
      <c r="AO184" s="34"/>
      <c r="AP184" s="33"/>
    </row>
    <row r="185" spans="1:42" ht="15.75" customHeight="1" x14ac:dyDescent="0.3">
      <c r="A185" s="33"/>
      <c r="B185" s="34"/>
      <c r="C185" s="34"/>
      <c r="D185" s="34"/>
      <c r="E185" s="33"/>
      <c r="F185" s="34"/>
      <c r="G185" s="34"/>
      <c r="H185" s="34"/>
      <c r="I185" s="34"/>
      <c r="J185" s="33"/>
      <c r="K185" s="34"/>
      <c r="L185" s="34"/>
      <c r="M185" s="34"/>
      <c r="N185" s="34"/>
      <c r="O185" s="34"/>
      <c r="P185" s="34"/>
      <c r="Q185" s="34"/>
      <c r="R185" s="33"/>
      <c r="S185" s="34"/>
      <c r="T185" s="34"/>
      <c r="U185" s="34"/>
      <c r="V185" s="34"/>
      <c r="W185" s="34"/>
      <c r="X185" s="34"/>
      <c r="Y185" s="34"/>
      <c r="Z185" s="33"/>
      <c r="AA185" s="34"/>
      <c r="AB185" s="34"/>
      <c r="AC185" s="34"/>
      <c r="AD185" s="33"/>
      <c r="AE185" s="34"/>
      <c r="AF185" s="34"/>
      <c r="AG185" s="34"/>
      <c r="AH185" s="33"/>
      <c r="AI185" s="34"/>
      <c r="AJ185" s="34"/>
      <c r="AK185" s="34"/>
      <c r="AL185" s="33"/>
      <c r="AM185" s="34"/>
      <c r="AN185" s="34"/>
      <c r="AO185" s="34"/>
      <c r="AP185" s="33"/>
    </row>
    <row r="186" spans="1:42" ht="15.75" customHeight="1" x14ac:dyDescent="0.3">
      <c r="A186" s="33"/>
      <c r="B186" s="34"/>
      <c r="C186" s="34"/>
      <c r="D186" s="34"/>
      <c r="E186" s="33"/>
      <c r="F186" s="34"/>
      <c r="G186" s="34"/>
      <c r="H186" s="34"/>
      <c r="I186" s="34"/>
      <c r="J186" s="33"/>
      <c r="K186" s="34"/>
      <c r="L186" s="34"/>
      <c r="M186" s="34"/>
      <c r="N186" s="34"/>
      <c r="O186" s="34"/>
      <c r="P186" s="34"/>
      <c r="Q186" s="34"/>
      <c r="R186" s="33"/>
      <c r="S186" s="34"/>
      <c r="T186" s="34"/>
      <c r="U186" s="34"/>
      <c r="V186" s="34"/>
      <c r="W186" s="34"/>
      <c r="X186" s="34"/>
      <c r="Y186" s="34"/>
      <c r="Z186" s="33"/>
      <c r="AA186" s="34"/>
      <c r="AB186" s="34"/>
      <c r="AC186" s="34"/>
      <c r="AD186" s="33"/>
      <c r="AE186" s="34"/>
      <c r="AF186" s="34"/>
      <c r="AG186" s="34"/>
      <c r="AH186" s="33"/>
      <c r="AI186" s="34"/>
      <c r="AJ186" s="34"/>
      <c r="AK186" s="34"/>
      <c r="AL186" s="33"/>
      <c r="AM186" s="34"/>
      <c r="AN186" s="34"/>
      <c r="AO186" s="34"/>
      <c r="AP186" s="33"/>
    </row>
    <row r="187" spans="1:42" ht="15.75" customHeight="1" x14ac:dyDescent="0.3">
      <c r="A187" s="33"/>
      <c r="B187" s="34"/>
      <c r="C187" s="34"/>
      <c r="D187" s="34"/>
      <c r="E187" s="33"/>
      <c r="F187" s="34"/>
      <c r="G187" s="34"/>
      <c r="H187" s="34"/>
      <c r="I187" s="34"/>
      <c r="J187" s="33"/>
      <c r="K187" s="34"/>
      <c r="L187" s="34"/>
      <c r="M187" s="34"/>
      <c r="N187" s="34"/>
      <c r="O187" s="34"/>
      <c r="P187" s="34"/>
      <c r="Q187" s="34"/>
      <c r="R187" s="33"/>
      <c r="S187" s="34"/>
      <c r="T187" s="34"/>
      <c r="U187" s="34"/>
      <c r="V187" s="34"/>
      <c r="W187" s="34"/>
      <c r="X187" s="34"/>
      <c r="Y187" s="34"/>
      <c r="Z187" s="33"/>
      <c r="AA187" s="34"/>
      <c r="AB187" s="34"/>
      <c r="AC187" s="34"/>
      <c r="AD187" s="33"/>
      <c r="AE187" s="34"/>
      <c r="AF187" s="34"/>
      <c r="AG187" s="34"/>
      <c r="AH187" s="33"/>
      <c r="AI187" s="34"/>
      <c r="AJ187" s="34"/>
      <c r="AK187" s="34"/>
      <c r="AL187" s="33"/>
      <c r="AM187" s="34"/>
      <c r="AN187" s="34"/>
      <c r="AO187" s="34"/>
      <c r="AP187" s="33"/>
    </row>
    <row r="188" spans="1:42" ht="15.75" customHeight="1" x14ac:dyDescent="0.3">
      <c r="A188" s="33"/>
      <c r="B188" s="34"/>
      <c r="C188" s="34"/>
      <c r="D188" s="34"/>
      <c r="E188" s="33"/>
      <c r="F188" s="34"/>
      <c r="G188" s="34"/>
      <c r="H188" s="34"/>
      <c r="I188" s="34"/>
      <c r="J188" s="33"/>
      <c r="K188" s="34"/>
      <c r="L188" s="34"/>
      <c r="M188" s="34"/>
      <c r="N188" s="34"/>
      <c r="O188" s="34"/>
      <c r="P188" s="34"/>
      <c r="Q188" s="34"/>
      <c r="R188" s="33"/>
      <c r="S188" s="34"/>
      <c r="T188" s="34"/>
      <c r="U188" s="34"/>
      <c r="V188" s="34"/>
      <c r="W188" s="34"/>
      <c r="X188" s="34"/>
      <c r="Y188" s="34"/>
      <c r="Z188" s="33"/>
      <c r="AA188" s="34"/>
      <c r="AB188" s="34"/>
      <c r="AC188" s="34"/>
      <c r="AD188" s="33"/>
      <c r="AE188" s="34"/>
      <c r="AF188" s="34"/>
      <c r="AG188" s="34"/>
      <c r="AH188" s="33"/>
      <c r="AI188" s="34"/>
      <c r="AJ188" s="34"/>
      <c r="AK188" s="34"/>
      <c r="AL188" s="33"/>
      <c r="AM188" s="34"/>
      <c r="AN188" s="34"/>
      <c r="AO188" s="34"/>
      <c r="AP188" s="33"/>
    </row>
    <row r="189" spans="1:42" ht="15.75" customHeight="1" x14ac:dyDescent="0.3">
      <c r="A189" s="33"/>
      <c r="B189" s="34"/>
      <c r="C189" s="34"/>
      <c r="D189" s="34"/>
      <c r="E189" s="33"/>
      <c r="F189" s="34"/>
      <c r="G189" s="34"/>
      <c r="H189" s="34"/>
      <c r="I189" s="34"/>
      <c r="J189" s="33"/>
      <c r="K189" s="34"/>
      <c r="L189" s="34"/>
      <c r="M189" s="34"/>
      <c r="N189" s="34"/>
      <c r="O189" s="34"/>
      <c r="P189" s="34"/>
      <c r="Q189" s="34"/>
      <c r="R189" s="33"/>
      <c r="S189" s="34"/>
      <c r="T189" s="34"/>
      <c r="U189" s="34"/>
      <c r="V189" s="34"/>
      <c r="W189" s="34"/>
      <c r="X189" s="34"/>
      <c r="Y189" s="34"/>
      <c r="Z189" s="33"/>
      <c r="AA189" s="34"/>
      <c r="AB189" s="34"/>
      <c r="AC189" s="34"/>
      <c r="AD189" s="33"/>
      <c r="AE189" s="34"/>
      <c r="AF189" s="34"/>
      <c r="AG189" s="34"/>
      <c r="AH189" s="33"/>
      <c r="AI189" s="34"/>
      <c r="AJ189" s="34"/>
      <c r="AK189" s="34"/>
      <c r="AL189" s="33"/>
      <c r="AM189" s="34"/>
      <c r="AN189" s="34"/>
      <c r="AO189" s="34"/>
      <c r="AP189" s="33"/>
    </row>
    <row r="190" spans="1:42" ht="15.75" customHeight="1" x14ac:dyDescent="0.3">
      <c r="A190" s="33"/>
      <c r="B190" s="34"/>
      <c r="C190" s="34"/>
      <c r="D190" s="34"/>
      <c r="E190" s="33"/>
      <c r="F190" s="34"/>
      <c r="G190" s="34"/>
      <c r="H190" s="34"/>
      <c r="I190" s="34"/>
      <c r="J190" s="33"/>
      <c r="K190" s="34"/>
      <c r="L190" s="34"/>
      <c r="M190" s="34"/>
      <c r="N190" s="34"/>
      <c r="O190" s="34"/>
      <c r="P190" s="34"/>
      <c r="Q190" s="34"/>
      <c r="R190" s="33"/>
      <c r="S190" s="34"/>
      <c r="T190" s="34"/>
      <c r="U190" s="34"/>
      <c r="V190" s="34"/>
      <c r="W190" s="34"/>
      <c r="X190" s="34"/>
      <c r="Y190" s="34"/>
      <c r="Z190" s="33"/>
      <c r="AA190" s="34"/>
      <c r="AB190" s="34"/>
      <c r="AC190" s="34"/>
      <c r="AD190" s="33"/>
      <c r="AE190" s="34"/>
      <c r="AF190" s="34"/>
      <c r="AG190" s="34"/>
      <c r="AH190" s="33"/>
      <c r="AI190" s="34"/>
      <c r="AJ190" s="34"/>
      <c r="AK190" s="34"/>
      <c r="AL190" s="33"/>
      <c r="AM190" s="34"/>
      <c r="AN190" s="34"/>
      <c r="AO190" s="34"/>
      <c r="AP190" s="33"/>
    </row>
    <row r="191" spans="1:42" ht="15.75" customHeight="1" x14ac:dyDescent="0.3">
      <c r="A191" s="33"/>
      <c r="B191" s="34"/>
      <c r="C191" s="34"/>
      <c r="D191" s="34"/>
      <c r="E191" s="33"/>
      <c r="F191" s="34"/>
      <c r="G191" s="34"/>
      <c r="H191" s="34"/>
      <c r="I191" s="34"/>
      <c r="J191" s="33"/>
      <c r="K191" s="34"/>
      <c r="L191" s="34"/>
      <c r="M191" s="34"/>
      <c r="N191" s="34"/>
      <c r="O191" s="34"/>
      <c r="P191" s="34"/>
      <c r="Q191" s="34"/>
      <c r="R191" s="33"/>
      <c r="S191" s="34"/>
      <c r="T191" s="34"/>
      <c r="U191" s="34"/>
      <c r="V191" s="34"/>
      <c r="W191" s="34"/>
      <c r="X191" s="34"/>
      <c r="Y191" s="34"/>
      <c r="Z191" s="33"/>
      <c r="AA191" s="34"/>
      <c r="AB191" s="34"/>
      <c r="AC191" s="34"/>
      <c r="AD191" s="33"/>
      <c r="AE191" s="34"/>
      <c r="AF191" s="34"/>
      <c r="AG191" s="34"/>
      <c r="AH191" s="33"/>
      <c r="AI191" s="34"/>
      <c r="AJ191" s="34"/>
      <c r="AK191" s="34"/>
      <c r="AL191" s="33"/>
      <c r="AM191" s="34"/>
      <c r="AN191" s="34"/>
      <c r="AO191" s="34"/>
      <c r="AP191" s="33"/>
    </row>
    <row r="192" spans="1:42" ht="15.75" customHeight="1" x14ac:dyDescent="0.3">
      <c r="A192" s="33"/>
      <c r="B192" s="34"/>
      <c r="C192" s="34"/>
      <c r="D192" s="34"/>
      <c r="E192" s="33"/>
      <c r="F192" s="34"/>
      <c r="G192" s="34"/>
      <c r="H192" s="34"/>
      <c r="I192" s="34"/>
      <c r="J192" s="33"/>
      <c r="K192" s="34"/>
      <c r="L192" s="34"/>
      <c r="M192" s="34"/>
      <c r="N192" s="34"/>
      <c r="O192" s="34"/>
      <c r="P192" s="34"/>
      <c r="Q192" s="34"/>
      <c r="R192" s="33"/>
      <c r="S192" s="34"/>
      <c r="T192" s="34"/>
      <c r="U192" s="34"/>
      <c r="V192" s="34"/>
      <c r="W192" s="34"/>
      <c r="X192" s="34"/>
      <c r="Y192" s="34"/>
      <c r="Z192" s="33"/>
      <c r="AA192" s="34"/>
      <c r="AB192" s="34"/>
      <c r="AC192" s="34"/>
      <c r="AD192" s="33"/>
      <c r="AE192" s="34"/>
      <c r="AF192" s="34"/>
      <c r="AG192" s="34"/>
      <c r="AH192" s="33"/>
      <c r="AI192" s="34"/>
      <c r="AJ192" s="34"/>
      <c r="AK192" s="34"/>
      <c r="AL192" s="33"/>
      <c r="AM192" s="34"/>
      <c r="AN192" s="34"/>
      <c r="AO192" s="34"/>
      <c r="AP192" s="33"/>
    </row>
    <row r="193" spans="1:42" ht="15.75" customHeight="1" x14ac:dyDescent="0.3">
      <c r="A193" s="33"/>
      <c r="B193" s="34"/>
      <c r="C193" s="34"/>
      <c r="D193" s="34"/>
      <c r="E193" s="33"/>
      <c r="F193" s="34"/>
      <c r="G193" s="34"/>
      <c r="H193" s="34"/>
      <c r="I193" s="34"/>
      <c r="J193" s="33"/>
      <c r="K193" s="34"/>
      <c r="L193" s="34"/>
      <c r="M193" s="34"/>
      <c r="N193" s="34"/>
      <c r="O193" s="34"/>
      <c r="P193" s="34"/>
      <c r="Q193" s="34"/>
      <c r="R193" s="33"/>
      <c r="S193" s="34"/>
      <c r="T193" s="34"/>
      <c r="U193" s="34"/>
      <c r="V193" s="34"/>
      <c r="W193" s="34"/>
      <c r="X193" s="34"/>
      <c r="Y193" s="34"/>
      <c r="Z193" s="33"/>
      <c r="AA193" s="34"/>
      <c r="AB193" s="34"/>
      <c r="AC193" s="34"/>
      <c r="AD193" s="33"/>
      <c r="AE193" s="34"/>
      <c r="AF193" s="34"/>
      <c r="AG193" s="34"/>
      <c r="AH193" s="33"/>
      <c r="AI193" s="34"/>
      <c r="AJ193" s="34"/>
      <c r="AK193" s="34"/>
      <c r="AL193" s="33"/>
      <c r="AM193" s="34"/>
      <c r="AN193" s="34"/>
      <c r="AO193" s="34"/>
      <c r="AP193" s="33"/>
    </row>
    <row r="194" spans="1:42" ht="15.75" customHeight="1" x14ac:dyDescent="0.3">
      <c r="A194" s="33"/>
      <c r="B194" s="34"/>
      <c r="C194" s="34"/>
      <c r="D194" s="34"/>
      <c r="E194" s="33"/>
      <c r="F194" s="34"/>
      <c r="G194" s="34"/>
      <c r="H194" s="34"/>
      <c r="I194" s="34"/>
      <c r="J194" s="33"/>
      <c r="K194" s="34"/>
      <c r="L194" s="34"/>
      <c r="M194" s="34"/>
      <c r="N194" s="34"/>
      <c r="O194" s="34"/>
      <c r="P194" s="34"/>
      <c r="Q194" s="34"/>
      <c r="R194" s="33"/>
      <c r="S194" s="34"/>
      <c r="T194" s="34"/>
      <c r="U194" s="34"/>
      <c r="V194" s="34"/>
      <c r="W194" s="34"/>
      <c r="X194" s="34"/>
      <c r="Y194" s="34"/>
      <c r="Z194" s="33"/>
      <c r="AA194" s="34"/>
      <c r="AB194" s="34"/>
      <c r="AC194" s="34"/>
      <c r="AD194" s="33"/>
      <c r="AE194" s="34"/>
      <c r="AF194" s="34"/>
      <c r="AG194" s="34"/>
      <c r="AH194" s="33"/>
      <c r="AI194" s="34"/>
      <c r="AJ194" s="34"/>
      <c r="AK194" s="34"/>
      <c r="AL194" s="33"/>
      <c r="AM194" s="34"/>
      <c r="AN194" s="34"/>
      <c r="AO194" s="34"/>
      <c r="AP194" s="33"/>
    </row>
    <row r="195" spans="1:42" ht="15.75" customHeight="1" x14ac:dyDescent="0.3">
      <c r="A195" s="33"/>
      <c r="B195" s="34"/>
      <c r="C195" s="34"/>
      <c r="D195" s="34"/>
      <c r="E195" s="33"/>
      <c r="F195" s="34"/>
      <c r="G195" s="34"/>
      <c r="H195" s="34"/>
      <c r="I195" s="34"/>
      <c r="J195" s="33"/>
      <c r="K195" s="34"/>
      <c r="L195" s="34"/>
      <c r="M195" s="34"/>
      <c r="N195" s="34"/>
      <c r="O195" s="34"/>
      <c r="P195" s="34"/>
      <c r="Q195" s="34"/>
      <c r="R195" s="33"/>
      <c r="S195" s="34"/>
      <c r="T195" s="34"/>
      <c r="U195" s="34"/>
      <c r="V195" s="34"/>
      <c r="W195" s="34"/>
      <c r="X195" s="34"/>
      <c r="Y195" s="34"/>
      <c r="Z195" s="33"/>
      <c r="AA195" s="34"/>
      <c r="AB195" s="34"/>
      <c r="AC195" s="34"/>
      <c r="AD195" s="33"/>
      <c r="AE195" s="34"/>
      <c r="AF195" s="34"/>
      <c r="AG195" s="34"/>
      <c r="AH195" s="33"/>
      <c r="AI195" s="34"/>
      <c r="AJ195" s="34"/>
      <c r="AK195" s="34"/>
      <c r="AL195" s="33"/>
      <c r="AM195" s="34"/>
      <c r="AN195" s="34"/>
      <c r="AO195" s="34"/>
      <c r="AP195" s="33"/>
    </row>
    <row r="196" spans="1:42" ht="15.75" customHeight="1" x14ac:dyDescent="0.3">
      <c r="A196" s="33"/>
      <c r="B196" s="34"/>
      <c r="C196" s="34"/>
      <c r="D196" s="34"/>
      <c r="E196" s="33"/>
      <c r="F196" s="34"/>
      <c r="G196" s="34"/>
      <c r="H196" s="34"/>
      <c r="I196" s="34"/>
      <c r="J196" s="33"/>
      <c r="K196" s="34"/>
      <c r="L196" s="34"/>
      <c r="M196" s="34"/>
      <c r="N196" s="34"/>
      <c r="O196" s="34"/>
      <c r="P196" s="34"/>
      <c r="Q196" s="34"/>
      <c r="R196" s="33"/>
      <c r="S196" s="34"/>
      <c r="T196" s="34"/>
      <c r="U196" s="34"/>
      <c r="V196" s="34"/>
      <c r="W196" s="34"/>
      <c r="X196" s="34"/>
      <c r="Y196" s="34"/>
      <c r="Z196" s="33"/>
      <c r="AA196" s="34"/>
      <c r="AB196" s="34"/>
      <c r="AC196" s="34"/>
      <c r="AD196" s="33"/>
      <c r="AE196" s="34"/>
      <c r="AF196" s="34"/>
      <c r="AG196" s="34"/>
      <c r="AH196" s="33"/>
      <c r="AI196" s="34"/>
      <c r="AJ196" s="34"/>
      <c r="AK196" s="34"/>
      <c r="AL196" s="33"/>
      <c r="AM196" s="34"/>
      <c r="AN196" s="34"/>
      <c r="AO196" s="34"/>
      <c r="AP196" s="33"/>
    </row>
    <row r="197" spans="1:42" ht="15.75" customHeight="1" x14ac:dyDescent="0.3">
      <c r="A197" s="33"/>
      <c r="B197" s="34"/>
      <c r="C197" s="34"/>
      <c r="D197" s="34"/>
      <c r="E197" s="33"/>
      <c r="F197" s="34"/>
      <c r="G197" s="34"/>
      <c r="H197" s="34"/>
      <c r="I197" s="34"/>
      <c r="J197" s="33"/>
      <c r="K197" s="34"/>
      <c r="L197" s="34"/>
      <c r="M197" s="34"/>
      <c r="N197" s="34"/>
      <c r="O197" s="34"/>
      <c r="P197" s="34"/>
      <c r="Q197" s="34"/>
      <c r="R197" s="33"/>
      <c r="S197" s="34"/>
      <c r="T197" s="34"/>
      <c r="U197" s="34"/>
      <c r="V197" s="34"/>
      <c r="W197" s="34"/>
      <c r="X197" s="34"/>
      <c r="Y197" s="34"/>
      <c r="Z197" s="33"/>
      <c r="AA197" s="34"/>
      <c r="AB197" s="34"/>
      <c r="AC197" s="34"/>
      <c r="AD197" s="33"/>
      <c r="AE197" s="34"/>
      <c r="AF197" s="34"/>
      <c r="AG197" s="34"/>
      <c r="AH197" s="33"/>
      <c r="AI197" s="34"/>
      <c r="AJ197" s="34"/>
      <c r="AK197" s="34"/>
      <c r="AL197" s="33"/>
      <c r="AM197" s="34"/>
      <c r="AN197" s="34"/>
      <c r="AO197" s="34"/>
      <c r="AP197" s="33"/>
    </row>
    <row r="198" spans="1:42" ht="15.75" customHeight="1" x14ac:dyDescent="0.3">
      <c r="A198" s="33"/>
      <c r="B198" s="34"/>
      <c r="C198" s="34"/>
      <c r="D198" s="34"/>
      <c r="E198" s="33"/>
      <c r="F198" s="34"/>
      <c r="G198" s="34"/>
      <c r="H198" s="34"/>
      <c r="I198" s="34"/>
      <c r="J198" s="33"/>
      <c r="K198" s="34"/>
      <c r="L198" s="34"/>
      <c r="M198" s="34"/>
      <c r="N198" s="34"/>
      <c r="O198" s="34"/>
      <c r="P198" s="34"/>
      <c r="Q198" s="34"/>
      <c r="R198" s="33"/>
      <c r="S198" s="34"/>
      <c r="T198" s="34"/>
      <c r="U198" s="34"/>
      <c r="V198" s="34"/>
      <c r="W198" s="34"/>
      <c r="X198" s="34"/>
      <c r="Y198" s="34"/>
      <c r="Z198" s="33"/>
      <c r="AA198" s="34"/>
      <c r="AB198" s="34"/>
      <c r="AC198" s="34"/>
      <c r="AD198" s="33"/>
      <c r="AE198" s="34"/>
      <c r="AF198" s="34"/>
      <c r="AG198" s="34"/>
      <c r="AH198" s="33"/>
      <c r="AI198" s="34"/>
      <c r="AJ198" s="34"/>
      <c r="AK198" s="34"/>
      <c r="AL198" s="33"/>
      <c r="AM198" s="34"/>
      <c r="AN198" s="34"/>
      <c r="AO198" s="34"/>
      <c r="AP198" s="33"/>
    </row>
    <row r="199" spans="1:42" ht="15.75" customHeight="1" x14ac:dyDescent="0.3">
      <c r="A199" s="33"/>
      <c r="B199" s="34"/>
      <c r="C199" s="34"/>
      <c r="D199" s="34"/>
      <c r="E199" s="33"/>
      <c r="F199" s="34"/>
      <c r="G199" s="34"/>
      <c r="H199" s="34"/>
      <c r="I199" s="34"/>
      <c r="J199" s="33"/>
      <c r="K199" s="34"/>
      <c r="L199" s="34"/>
      <c r="M199" s="34"/>
      <c r="N199" s="34"/>
      <c r="O199" s="34"/>
      <c r="P199" s="34"/>
      <c r="Q199" s="34"/>
      <c r="R199" s="33"/>
      <c r="S199" s="34"/>
      <c r="T199" s="34"/>
      <c r="U199" s="34"/>
      <c r="V199" s="34"/>
      <c r="W199" s="34"/>
      <c r="X199" s="34"/>
      <c r="Y199" s="34"/>
      <c r="Z199" s="33"/>
      <c r="AA199" s="34"/>
      <c r="AB199" s="34"/>
      <c r="AC199" s="34"/>
      <c r="AD199" s="33"/>
      <c r="AE199" s="34"/>
      <c r="AF199" s="34"/>
      <c r="AG199" s="34"/>
      <c r="AH199" s="33"/>
      <c r="AI199" s="34"/>
      <c r="AJ199" s="34"/>
      <c r="AK199" s="34"/>
      <c r="AL199" s="33"/>
      <c r="AM199" s="34"/>
      <c r="AN199" s="34"/>
      <c r="AO199" s="34"/>
      <c r="AP199" s="33"/>
    </row>
    <row r="200" spans="1:42" ht="15.75" customHeight="1" x14ac:dyDescent="0.3">
      <c r="A200" s="33"/>
      <c r="B200" s="34"/>
      <c r="C200" s="34"/>
      <c r="D200" s="34"/>
      <c r="E200" s="33"/>
      <c r="F200" s="34"/>
      <c r="G200" s="34"/>
      <c r="H200" s="34"/>
      <c r="I200" s="34"/>
      <c r="J200" s="33"/>
      <c r="K200" s="34"/>
      <c r="L200" s="34"/>
      <c r="M200" s="34"/>
      <c r="N200" s="34"/>
      <c r="O200" s="34"/>
      <c r="P200" s="34"/>
      <c r="Q200" s="34"/>
      <c r="R200" s="33"/>
      <c r="S200" s="34"/>
      <c r="T200" s="34"/>
      <c r="U200" s="34"/>
      <c r="V200" s="34"/>
      <c r="W200" s="34"/>
      <c r="X200" s="34"/>
      <c r="Y200" s="34"/>
      <c r="Z200" s="33"/>
      <c r="AA200" s="34"/>
      <c r="AB200" s="34"/>
      <c r="AC200" s="34"/>
      <c r="AD200" s="33"/>
      <c r="AE200" s="34"/>
      <c r="AF200" s="34"/>
      <c r="AG200" s="34"/>
      <c r="AH200" s="33"/>
      <c r="AI200" s="34"/>
      <c r="AJ200" s="34"/>
      <c r="AK200" s="34"/>
      <c r="AL200" s="33"/>
      <c r="AM200" s="34"/>
      <c r="AN200" s="34"/>
      <c r="AO200" s="34"/>
      <c r="AP200" s="33"/>
    </row>
    <row r="201" spans="1:42" ht="15.75" customHeight="1" x14ac:dyDescent="0.3">
      <c r="A201" s="33"/>
      <c r="B201" s="34"/>
      <c r="C201" s="34"/>
      <c r="D201" s="34"/>
      <c r="E201" s="33"/>
      <c r="F201" s="34"/>
      <c r="G201" s="34"/>
      <c r="H201" s="34"/>
      <c r="I201" s="34"/>
      <c r="J201" s="33"/>
      <c r="K201" s="34"/>
      <c r="L201" s="34"/>
      <c r="M201" s="34"/>
      <c r="N201" s="34"/>
      <c r="O201" s="34"/>
      <c r="P201" s="34"/>
      <c r="Q201" s="34"/>
      <c r="R201" s="33"/>
      <c r="S201" s="34"/>
      <c r="T201" s="34"/>
      <c r="U201" s="34"/>
      <c r="V201" s="34"/>
      <c r="W201" s="34"/>
      <c r="X201" s="34"/>
      <c r="Y201" s="34"/>
      <c r="Z201" s="33"/>
      <c r="AA201" s="34"/>
      <c r="AB201" s="34"/>
      <c r="AC201" s="34"/>
      <c r="AD201" s="33"/>
      <c r="AE201" s="34"/>
      <c r="AF201" s="34"/>
      <c r="AG201" s="34"/>
      <c r="AH201" s="33"/>
      <c r="AI201" s="34"/>
      <c r="AJ201" s="34"/>
      <c r="AK201" s="34"/>
      <c r="AL201" s="33"/>
      <c r="AM201" s="34"/>
      <c r="AN201" s="34"/>
      <c r="AO201" s="34"/>
      <c r="AP201" s="33"/>
    </row>
    <row r="202" spans="1:42" ht="15.75" customHeight="1" x14ac:dyDescent="0.3">
      <c r="A202" s="33"/>
      <c r="B202" s="34"/>
      <c r="C202" s="34"/>
      <c r="D202" s="34"/>
      <c r="E202" s="33"/>
      <c r="F202" s="34"/>
      <c r="G202" s="34"/>
      <c r="H202" s="34"/>
      <c r="I202" s="34"/>
      <c r="J202" s="33"/>
      <c r="K202" s="34"/>
      <c r="L202" s="34"/>
      <c r="M202" s="34"/>
      <c r="N202" s="34"/>
      <c r="O202" s="34"/>
      <c r="P202" s="34"/>
      <c r="Q202" s="34"/>
      <c r="R202" s="33"/>
      <c r="S202" s="34"/>
      <c r="T202" s="34"/>
      <c r="U202" s="34"/>
      <c r="V202" s="34"/>
      <c r="W202" s="34"/>
      <c r="X202" s="34"/>
      <c r="Y202" s="34"/>
      <c r="Z202" s="33"/>
      <c r="AA202" s="34"/>
      <c r="AB202" s="34"/>
      <c r="AC202" s="34"/>
      <c r="AD202" s="33"/>
      <c r="AE202" s="34"/>
      <c r="AF202" s="34"/>
      <c r="AG202" s="34"/>
      <c r="AH202" s="33"/>
      <c r="AI202" s="34"/>
      <c r="AJ202" s="34"/>
      <c r="AK202" s="34"/>
      <c r="AL202" s="33"/>
      <c r="AM202" s="34"/>
      <c r="AN202" s="34"/>
      <c r="AO202" s="34"/>
      <c r="AP202" s="33"/>
    </row>
    <row r="203" spans="1:42" ht="15.75" customHeight="1" x14ac:dyDescent="0.3">
      <c r="A203" s="33"/>
      <c r="B203" s="34"/>
      <c r="C203" s="34"/>
      <c r="D203" s="34"/>
      <c r="E203" s="33"/>
      <c r="F203" s="34"/>
      <c r="G203" s="34"/>
      <c r="H203" s="34"/>
      <c r="I203" s="34"/>
      <c r="J203" s="33"/>
      <c r="K203" s="34"/>
      <c r="L203" s="34"/>
      <c r="M203" s="34"/>
      <c r="N203" s="34"/>
      <c r="O203" s="34"/>
      <c r="P203" s="34"/>
      <c r="Q203" s="34"/>
      <c r="R203" s="33"/>
      <c r="S203" s="34"/>
      <c r="T203" s="34"/>
      <c r="U203" s="34"/>
      <c r="V203" s="34"/>
      <c r="W203" s="34"/>
      <c r="X203" s="34"/>
      <c r="Y203" s="34"/>
      <c r="Z203" s="33"/>
      <c r="AA203" s="34"/>
      <c r="AB203" s="34"/>
      <c r="AC203" s="34"/>
      <c r="AD203" s="33"/>
      <c r="AE203" s="34"/>
      <c r="AF203" s="34"/>
      <c r="AG203" s="34"/>
      <c r="AH203" s="33"/>
      <c r="AI203" s="34"/>
      <c r="AJ203" s="34"/>
      <c r="AK203" s="34"/>
      <c r="AL203" s="33"/>
      <c r="AM203" s="34"/>
      <c r="AN203" s="34"/>
      <c r="AO203" s="34"/>
      <c r="AP203" s="33"/>
    </row>
    <row r="204" spans="1:42" ht="15.75" customHeight="1" x14ac:dyDescent="0.3">
      <c r="A204" s="33"/>
      <c r="B204" s="34"/>
      <c r="C204" s="34"/>
      <c r="D204" s="34"/>
      <c r="E204" s="33"/>
      <c r="F204" s="34"/>
      <c r="G204" s="34"/>
      <c r="H204" s="34"/>
      <c r="I204" s="34"/>
      <c r="J204" s="33"/>
      <c r="K204" s="34"/>
      <c r="L204" s="34"/>
      <c r="M204" s="34"/>
      <c r="N204" s="34"/>
      <c r="O204" s="34"/>
      <c r="P204" s="34"/>
      <c r="Q204" s="34"/>
      <c r="R204" s="33"/>
      <c r="S204" s="34"/>
      <c r="T204" s="34"/>
      <c r="U204" s="34"/>
      <c r="V204" s="34"/>
      <c r="W204" s="34"/>
      <c r="X204" s="34"/>
      <c r="Y204" s="34"/>
      <c r="Z204" s="33"/>
      <c r="AA204" s="34"/>
      <c r="AB204" s="34"/>
      <c r="AC204" s="34"/>
      <c r="AD204" s="33"/>
      <c r="AE204" s="34"/>
      <c r="AF204" s="34"/>
      <c r="AG204" s="34"/>
      <c r="AH204" s="33"/>
      <c r="AI204" s="34"/>
      <c r="AJ204" s="34"/>
      <c r="AK204" s="34"/>
      <c r="AL204" s="33"/>
      <c r="AM204" s="34"/>
      <c r="AN204" s="34"/>
      <c r="AO204" s="34"/>
      <c r="AP204" s="33"/>
    </row>
    <row r="205" spans="1:42" ht="15.75" customHeight="1" x14ac:dyDescent="0.3">
      <c r="A205" s="33"/>
      <c r="B205" s="34"/>
      <c r="C205" s="34"/>
      <c r="D205" s="34"/>
      <c r="E205" s="33"/>
      <c r="F205" s="34"/>
      <c r="G205" s="34"/>
      <c r="H205" s="34"/>
      <c r="I205" s="34"/>
      <c r="J205" s="33"/>
      <c r="K205" s="34"/>
      <c r="L205" s="34"/>
      <c r="M205" s="34"/>
      <c r="N205" s="34"/>
      <c r="O205" s="34"/>
      <c r="P205" s="34"/>
      <c r="Q205" s="34"/>
      <c r="R205" s="33"/>
      <c r="S205" s="34"/>
      <c r="T205" s="34"/>
      <c r="U205" s="34"/>
      <c r="V205" s="34"/>
      <c r="W205" s="34"/>
      <c r="X205" s="34"/>
      <c r="Y205" s="34"/>
      <c r="Z205" s="33"/>
      <c r="AA205" s="34"/>
      <c r="AB205" s="34"/>
      <c r="AC205" s="34"/>
      <c r="AD205" s="33"/>
      <c r="AE205" s="34"/>
      <c r="AF205" s="34"/>
      <c r="AG205" s="34"/>
      <c r="AH205" s="33"/>
      <c r="AI205" s="34"/>
      <c r="AJ205" s="34"/>
      <c r="AK205" s="34"/>
      <c r="AL205" s="33"/>
      <c r="AM205" s="34"/>
      <c r="AN205" s="34"/>
      <c r="AO205" s="34"/>
      <c r="AP205" s="33"/>
    </row>
    <row r="206" spans="1:42" ht="15.75" customHeight="1" x14ac:dyDescent="0.3">
      <c r="A206" s="33"/>
      <c r="B206" s="34"/>
      <c r="C206" s="34"/>
      <c r="D206" s="34"/>
      <c r="E206" s="33"/>
      <c r="F206" s="34"/>
      <c r="G206" s="34"/>
      <c r="H206" s="34"/>
      <c r="I206" s="34"/>
      <c r="J206" s="33"/>
      <c r="K206" s="34"/>
      <c r="L206" s="34"/>
      <c r="M206" s="34"/>
      <c r="N206" s="34"/>
      <c r="O206" s="34"/>
      <c r="P206" s="34"/>
      <c r="Q206" s="34"/>
      <c r="R206" s="33"/>
      <c r="S206" s="34"/>
      <c r="T206" s="34"/>
      <c r="U206" s="34"/>
      <c r="V206" s="34"/>
      <c r="W206" s="34"/>
      <c r="X206" s="34"/>
      <c r="Y206" s="34"/>
      <c r="Z206" s="33"/>
      <c r="AA206" s="34"/>
      <c r="AB206" s="34"/>
      <c r="AC206" s="34"/>
      <c r="AD206" s="33"/>
      <c r="AE206" s="34"/>
      <c r="AF206" s="34"/>
      <c r="AG206" s="34"/>
      <c r="AH206" s="33"/>
      <c r="AI206" s="34"/>
      <c r="AJ206" s="34"/>
      <c r="AK206" s="34"/>
      <c r="AL206" s="33"/>
      <c r="AM206" s="34"/>
      <c r="AN206" s="34"/>
      <c r="AO206" s="34"/>
      <c r="AP206" s="33"/>
    </row>
    <row r="207" spans="1:42" ht="15.75" customHeight="1" x14ac:dyDescent="0.3">
      <c r="A207" s="33"/>
      <c r="B207" s="34"/>
      <c r="C207" s="34"/>
      <c r="D207" s="34"/>
      <c r="E207" s="33"/>
      <c r="F207" s="34"/>
      <c r="G207" s="34"/>
      <c r="H207" s="34"/>
      <c r="I207" s="34"/>
      <c r="J207" s="33"/>
      <c r="K207" s="34"/>
      <c r="L207" s="34"/>
      <c r="M207" s="34"/>
      <c r="N207" s="34"/>
      <c r="O207" s="34"/>
      <c r="P207" s="34"/>
      <c r="Q207" s="34"/>
      <c r="R207" s="33"/>
      <c r="S207" s="34"/>
      <c r="T207" s="34"/>
      <c r="U207" s="34"/>
      <c r="V207" s="34"/>
      <c r="W207" s="34"/>
      <c r="X207" s="34"/>
      <c r="Y207" s="34"/>
      <c r="Z207" s="33"/>
      <c r="AA207" s="34"/>
      <c r="AB207" s="34"/>
      <c r="AC207" s="34"/>
      <c r="AD207" s="33"/>
      <c r="AE207" s="34"/>
      <c r="AF207" s="34"/>
      <c r="AG207" s="34"/>
      <c r="AH207" s="33"/>
      <c r="AI207" s="34"/>
      <c r="AJ207" s="34"/>
      <c r="AK207" s="34"/>
      <c r="AL207" s="33"/>
      <c r="AM207" s="34"/>
      <c r="AN207" s="34"/>
      <c r="AO207" s="34"/>
      <c r="AP207" s="33"/>
    </row>
    <row r="208" spans="1:42" ht="15.75" customHeight="1" x14ac:dyDescent="0.3">
      <c r="A208" s="33"/>
      <c r="B208" s="34"/>
      <c r="C208" s="34"/>
      <c r="D208" s="34"/>
      <c r="E208" s="33"/>
      <c r="F208" s="34"/>
      <c r="G208" s="34"/>
      <c r="H208" s="34"/>
      <c r="I208" s="34"/>
      <c r="J208" s="33"/>
      <c r="K208" s="34"/>
      <c r="L208" s="34"/>
      <c r="M208" s="34"/>
      <c r="N208" s="34"/>
      <c r="O208" s="34"/>
      <c r="P208" s="34"/>
      <c r="Q208" s="34"/>
      <c r="R208" s="33"/>
      <c r="S208" s="34"/>
      <c r="T208" s="34"/>
      <c r="U208" s="34"/>
      <c r="V208" s="34"/>
      <c r="W208" s="34"/>
      <c r="X208" s="34"/>
      <c r="Y208" s="34"/>
      <c r="Z208" s="33"/>
      <c r="AA208" s="34"/>
      <c r="AB208" s="34"/>
      <c r="AC208" s="34"/>
      <c r="AD208" s="33"/>
      <c r="AE208" s="34"/>
      <c r="AF208" s="34"/>
      <c r="AG208" s="34"/>
      <c r="AH208" s="33"/>
      <c r="AI208" s="34"/>
      <c r="AJ208" s="34"/>
      <c r="AK208" s="34"/>
      <c r="AL208" s="33"/>
      <c r="AM208" s="34"/>
      <c r="AN208" s="34"/>
      <c r="AO208" s="34"/>
      <c r="AP208" s="33"/>
    </row>
    <row r="209" spans="1:42" ht="15.75" customHeight="1" x14ac:dyDescent="0.3">
      <c r="A209" s="33"/>
      <c r="B209" s="34"/>
      <c r="C209" s="34"/>
      <c r="D209" s="34"/>
      <c r="E209" s="33"/>
      <c r="F209" s="34"/>
      <c r="G209" s="34"/>
      <c r="H209" s="34"/>
      <c r="I209" s="34"/>
      <c r="J209" s="33"/>
      <c r="K209" s="34"/>
      <c r="L209" s="34"/>
      <c r="M209" s="34"/>
      <c r="N209" s="34"/>
      <c r="O209" s="34"/>
      <c r="P209" s="34"/>
      <c r="Q209" s="34"/>
      <c r="R209" s="33"/>
      <c r="S209" s="34"/>
      <c r="T209" s="34"/>
      <c r="U209" s="34"/>
      <c r="V209" s="34"/>
      <c r="W209" s="34"/>
      <c r="X209" s="34"/>
      <c r="Y209" s="34"/>
      <c r="Z209" s="33"/>
      <c r="AA209" s="34"/>
      <c r="AB209" s="34"/>
      <c r="AC209" s="34"/>
      <c r="AD209" s="33"/>
      <c r="AE209" s="34"/>
      <c r="AF209" s="34"/>
      <c r="AG209" s="34"/>
      <c r="AH209" s="33"/>
      <c r="AI209" s="34"/>
      <c r="AJ209" s="34"/>
      <c r="AK209" s="34"/>
      <c r="AL209" s="33"/>
      <c r="AM209" s="34"/>
      <c r="AN209" s="34"/>
      <c r="AO209" s="34"/>
      <c r="AP209" s="33"/>
    </row>
    <row r="210" spans="1:42" ht="15.75" customHeight="1" x14ac:dyDescent="0.3">
      <c r="A210" s="33"/>
      <c r="B210" s="34"/>
      <c r="C210" s="34"/>
      <c r="D210" s="34"/>
      <c r="E210" s="33"/>
      <c r="F210" s="34"/>
      <c r="G210" s="34"/>
      <c r="H210" s="34"/>
      <c r="I210" s="34"/>
      <c r="J210" s="33"/>
      <c r="K210" s="34"/>
      <c r="L210" s="34"/>
      <c r="M210" s="34"/>
      <c r="N210" s="34"/>
      <c r="O210" s="34"/>
      <c r="P210" s="34"/>
      <c r="Q210" s="34"/>
      <c r="R210" s="33"/>
      <c r="S210" s="34"/>
      <c r="T210" s="34"/>
      <c r="U210" s="34"/>
      <c r="V210" s="34"/>
      <c r="W210" s="34"/>
      <c r="X210" s="34"/>
      <c r="Y210" s="34"/>
      <c r="Z210" s="33"/>
      <c r="AA210" s="34"/>
      <c r="AB210" s="34"/>
      <c r="AC210" s="34"/>
      <c r="AD210" s="33"/>
      <c r="AE210" s="34"/>
      <c r="AF210" s="34"/>
      <c r="AG210" s="34"/>
      <c r="AH210" s="33"/>
      <c r="AI210" s="34"/>
      <c r="AJ210" s="34"/>
      <c r="AK210" s="34"/>
      <c r="AL210" s="33"/>
      <c r="AM210" s="34"/>
      <c r="AN210" s="34"/>
      <c r="AO210" s="34"/>
      <c r="AP210" s="33"/>
    </row>
  </sheetData>
  <dataValidations disablePrompts="1" count="1">
    <dataValidation type="list" allowBlank="1" sqref="G107:G116 G16:G25 G42:G51 G3:G12 G133:G142 G29:G38 G55:G64 G68:G77 G81:G90 G120:G129 G94:G103 G146:G155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2026-04-03T08:34:13Z</dcterms:modified>
</cp:coreProperties>
</file>